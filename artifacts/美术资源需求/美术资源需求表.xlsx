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b1d23a8a4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需求表" sheetId="1" r:id="R5df11b8897ab4e19"/>
    <x:sheet xmlns:r="http://schemas.openxmlformats.org/officeDocument/2006/relationships" name="状态说明" sheetId="2" r:id="R79f0a408993c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0"/>
      <x:color rgb="FF24527A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</x:fills>
  <x:borders count="12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left" wrapText="1"/>
    </x:xf>
    <x:xf numFmtId="0" fontId="5" fillId="14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6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horizontal="left" wrapText="1"/>
    </x:xf>
    <x:xf numFmtId="0" fontId="5" fillId="18" borderId="0" xfId="0" applyNumberFormat="1" applyFont="1" applyFill="1" applyBorder="1" applyAlignment="1">
      <x:alignment horizontal="left" vertical="center"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horizontal="center"/>
    </x:xf>
    <x:xf numFmtId="0" fontId="6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horizontal="center"/>
    </x:xf>
    <x:xf numFmtId="0" fontId="1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horizontal="left" wrapText="1"/>
    </x:xf>
    <x:xf numFmtId="0" fontId="5" fillId="22" borderId="0" xfId="0" applyNumberFormat="1" applyFont="1" applyFill="1" applyBorder="1" applyAlignment="1">
      <x:alignment horizontal="left" vertical="center" wrapText="1"/>
    </x:xf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horizontal="center"/>
    </x:xf>
    <x:xf numFmtId="0" fontId="6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horizontal="center"/>
    </x:xf>
    <x:xf numFmtId="0" fontId="1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horizontal="left" wrapText="1"/>
    </x:xf>
    <x:xf numFmtId="0" fontId="5" fillId="26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6" fillId="27" borderId="0" xfId="0" applyNumberFormat="1" applyFont="1" applyFill="1" applyBorder="1" applyAlignment="1">
      <x:alignment horizontal="center"/>
    </x:xf>
    <x:xf numFmtId="0" fontId="6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7" fillId="0" borderId="4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6">
    <x:dxf>
      <x:font>
        <x:color rgb="FF7A5A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B1C1C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E480E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E480E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E480E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E480E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E480E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E480E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843C0C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843C0C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4C2A85"/>
      </x:font>
      <x:fill>
        <x:patternFill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5973959a44971" /><Relationship Type="http://schemas.openxmlformats.org/officeDocument/2006/relationships/theme" Target="/xl/theme/theme1.xml" Id="R188d03f50ee24f4b" /><Relationship Type="http://schemas.openxmlformats.org/officeDocument/2006/relationships/sharedStrings" Target="/xl/sharedStrings.xml" Id="R96e325bef73b406b" /><Relationship Type="http://schemas.openxmlformats.org/officeDocument/2006/relationships/worksheet" Target="/xl/worksheets/sheet1.xml" Id="R5df11b8897ab4e19" /><Relationship Type="http://schemas.openxmlformats.org/officeDocument/2006/relationships/worksheet" Target="/xl/worksheets/sheet2.xml" Id="R79f0a408993c45b3" /></Relationships>
</file>

<file path=xl/tables/table1.xml><?xml version="1.0" encoding="utf-8"?>
<x:table xmlns:x="http://schemas.openxmlformats.org/spreadsheetml/2006/main" id="1" name="ResourceRequirementsTable" displayName="ResourceRequirementsTable" ref="A5:H124" headerRowCount="1" totalsRowCount="0" totalsRowShown="0">
  <x:autoFilter ref="A5:H124"/>
  <x:tableColumns count="8">
    <x:tableColumn id="1" name="序号"/>
    <x:tableColumn id="2" name="资源编号"/>
    <x:tableColumn id="3" name="父项／资源组"/>
    <x:tableColumn id="4" name="名称"/>
    <x:tableColumn id="5" name="类型"/>
    <x:tableColumn id="6" name="路径"/>
    <x:tableColumn id="7" name="交付／说明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d38591a60442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31" hidden="0" customWidth="1"/>
    <x:col min="4" max="4" width="25" hidden="0" customWidth="1"/>
    <x:col min="5" max="5" width="10" hidden="0" customWidth="1"/>
    <x:col min="6" max="6" width="39" hidden="0" customWidth="1"/>
    <x:col min="7" max="7" width="61" hidden="0" customWidth="1"/>
    <x:col min="8" max="8" width="16" hidden="0" customWidth="1"/>
  </x:cols>
  <x:sheetData>
    <x:row r="1" ht="30" customHeight="1">
      <x:c r="A1" s="150" t="str">
        <x:v>美术资源需求总表｜唯一地图：绿洲新城</x:v>
      </x:c>
      <x:c r="B1" s="150"/>
      <x:c r="C1" s="150"/>
      <x:c r="D1" s="150"/>
      <x:c r="E1" s="150"/>
      <x:c r="F1" s="150"/>
      <x:c r="G1" s="150"/>
      <x:c r="H1" s="150"/>
    </x:row>
    <x:row r="2" ht="32" customHeight="1">
      <x:c r="A2" s="155" t="str">
        <x:v>当前范围：唯一地图环境以“绿洲新城”为准，保留其地图、BF 建筑与 DE 装饰；旧 ENV-001～ENV-005 已清理。可交互道具属于游戏内容资产，与地图装饰独立追踪；已移除重复的实体纹身工作台与缺少玩法依据的独立终端，当前保留 12 项，其中撤离点装置同时承担地标与操作入口。12 张轴测图等待确认，其他多视图、3D 建模、Blender 处理和 Unity 导入均未开始。</x:v>
      </x:c>
      <x:c r="B2" s="155"/>
      <x:c r="C2" s="155"/>
      <x:c r="D2" s="155"/>
      <x:c r="E2" s="155"/>
      <x:c r="F2" s="155"/>
      <x:c r="G2" s="155"/>
      <x:c r="H2" s="155"/>
    </x:row>
    <x:row r="3" ht="22" customHeight="1">
      <x:c r="A3" s="159" t="str">
        <x:v>资源总数</x:v>
      </x:c>
      <x:c r="B3" s="159" t="n">
        <x:f>COUNTA(B6:B124)</x:f>
        <x:v>115</x:v>
      </x:c>
      <x:c r="C3" s="159" t="str">
        <x:v>已完成-符合</x:v>
      </x:c>
      <x:c r="D3" s="159" t="n">
        <x:f>COUNTIF(H6:H124,"已完成-符合")</x:f>
        <x:v>57</x:v>
      </x:c>
      <x:c r="E3" s="159" t="str">
        <x:v>设计完成-待制作</x:v>
      </x:c>
      <x:c r="F3" s="159" t="n">
        <x:f>COUNTIF(H6:H124,"设计完成-待制作")</x:f>
        <x:v>44</x:v>
      </x:c>
      <x:c r="G3" s="159" t="str">
        <x:v>轴测图待确认</x:v>
      </x:c>
      <x:c r="H3" s="159" t="n">
        <x:f>COUNTIF($H$6:$H$124,G3)</x:f>
        <x:v>12</x:v>
      </x:c>
    </x:row>
    <x:row r="4" ht="40" customHeight="1">
      <x:c r="A4" t="str">
        <x:v>待制作</x:v>
      </x:c>
      <x:c r="B4" t="n">
        <x:f>COUNTIF(H6:H124,"待制作")</x:f>
        <x:v>1</x:v>
      </x:c>
      <x:c r="C4" t="str">
        <x:v>待验收</x:v>
      </x:c>
      <x:c r="D4" t="n">
        <x:f>COUNTIF(H6:H124,"待验收")</x:f>
        <x:v>1</x:v>
      </x:c>
      <x:c r="E4" t="str">
        <x:v>待分配</x:v>
      </x:c>
      <x:c r="F4" t="n">
        <x:f>COUNTIF(H6:H124,"待分配")</x:f>
        <x:v>0</x:v>
      </x:c>
      <x:c r="G4" t="str">
        <x:v>完成率</x:v>
      </x:c>
      <x:c r="H4" s="165" t="n">
        <x:f>IFERROR(D3/B3,0)</x:f>
        <x:v>0.4956521739130435</x:v>
      </x:c>
    </x:row>
    <x:row r="5" ht="26" customHeight="1">
      <x:c r="A5" s="164" t="str">
        <x:v>序号</x:v>
      </x:c>
      <x:c r="B5" s="164" t="str">
        <x:v>资源编号</x:v>
      </x:c>
      <x:c r="C5" s="164" t="str">
        <x:v>父项／资源组</x:v>
      </x:c>
      <x:c r="D5" s="164" t="str">
        <x:v>名称</x:v>
      </x:c>
      <x:c r="E5" s="164" t="str">
        <x:v>类型</x:v>
      </x:c>
      <x:c r="F5" s="164" t="str">
        <x:v>路径</x:v>
      </x:c>
      <x:c r="G5" s="164" t="str">
        <x:v>交付／说明</x:v>
      </x:c>
      <x:c r="H5" s="164" t="str">
        <x:v>状态</x:v>
      </x:c>
    </x:row>
    <x:row r="6" ht="38" customHeight="1">
      <x:c r="A6" s="73" t="n">
        <x:v>1</x:v>
      </x:c>
      <x:c r="B6" s="73" t="str">
        <x:v>CHR-001-01</x:v>
      </x:c>
      <x:c r="C6" s="71" t="str">
        <x:v>CHR-001 基础角色模型与统一骨骼</x:v>
      </x:c>
      <x:c r="D6" s="71" t="str">
        <x:v>中性基础角色身体与统一骨骼</x:v>
      </x:c>
      <x:c r="E6" s="73" t="str">
        <x:v>模型</x:v>
      </x:c>
      <x:c r="F6" s="71" t="str">
        <x:v>模型/CHR-001_基础角色模型与统一骨骼/</x:v>
      </x:c>
      <x:c r="G6" s="71" t="str">
        <x:v>单项模型；支持第三人称及复用既有手臂的第一人称；六处纹身 UV 画布自然可见。 现状核验：已有多套角色或服装概念图；尚无正式 FBX、统一骨骼、UV、PBR 或 Unity Prefab。</x:v>
      </x:c>
      <x:c r="H6" s="73" t="str">
        <x:v>设计完成-待制作</x:v>
      </x:c>
    </x:row>
    <x:row r="7" ht="38" customHeight="1">
      <x:c r="A7" s="74" t="n">
        <x:v>2</x:v>
      </x:c>
      <x:c r="B7" s="74" t="str">
        <x:v>CHR-003-01</x:v>
      </x:c>
      <x:c r="C7" s="72" t="str">
        <x:v>CHR-003 轻机能服装与局部机械组件</x:v>
      </x:c>
      <x:c r="D7" s="72" t="str">
        <x:v>短夹克</x:v>
      </x:c>
      <x:c r="E7" s="74" t="str">
        <x:v>模型</x:v>
      </x:c>
      <x:c r="F7" s="72" t="str">
        <x:v>模型/CHR-003_轻机能服装与局部机械组件/</x:v>
      </x:c>
      <x:c r="G7" s="72" t="str">
        <x:v>单项模型；止于肋骨侧面，不遮挡纹身画布。 现状核验：已有多套角色或服装概念图；尚无正式 FBX、统一骨骼、UV、PBR 或 Unity Prefab。</x:v>
      </x:c>
      <x:c r="H7" s="74" t="str">
        <x:v>设计完成-待制作</x:v>
      </x:c>
    </x:row>
    <x:row r="8" ht="38" customHeight="1">
      <x:c r="A8" s="74" t="n">
        <x:v>3</x:v>
      </x:c>
      <x:c r="B8" s="74" t="str">
        <x:v>CHR-003-02</x:v>
      </x:c>
      <x:c r="C8" s="72" t="str">
        <x:v>CHR-003 轻机能服装与局部机械组件</x:v>
      </x:c>
      <x:c r="D8" s="72" t="str">
        <x:v>背带</x:v>
      </x:c>
      <x:c r="E8" s="74" t="str">
        <x:v>模型</x:v>
      </x:c>
      <x:c r="F8" s="72" t="str">
        <x:v>模型/CHR-003_轻机能服装与局部机械组件/</x:v>
      </x:c>
      <x:c r="G8" s="72" t="str">
        <x:v>单项模型；沿肌肉走向布置，保留躯干与四肢画布可读性。 现状核验：已有多套角色或服装概念图；尚无正式 FBX、统一骨骼、UV、PBR 或 Unity Prefab。</x:v>
      </x:c>
      <x:c r="H8" s="74" t="str">
        <x:v>设计完成-待制作</x:v>
      </x:c>
    </x:row>
    <x:row r="9" ht="38" customHeight="1">
      <x:c r="A9" s="74" t="n">
        <x:v>4</x:v>
      </x:c>
      <x:c r="B9" s="74" t="str">
        <x:v>CHR-003-03</x:v>
      </x:c>
      <x:c r="C9" s="72" t="str">
        <x:v>CHR-003 轻机能服装与局部机械组件</x:v>
      </x:c>
      <x:c r="D9" s="72" t="str">
        <x:v>护腕</x:v>
      </x:c>
      <x:c r="E9" s="74" t="str">
        <x:v>模型</x:v>
      </x:c>
      <x:c r="F9" s="72" t="str">
        <x:v>模型/CHR-003_轻机能服装与局部机械组件/</x:v>
      </x:c>
      <x:c r="G9" s="72" t="str">
        <x:v>单项模型；轻量局部机械组件，避免遮挡手臂纹身。 现状核验：已有多套角色或服装概念图；尚无正式 FBX、统一骨骼、UV、PBR 或 Unity Prefab。</x:v>
      </x:c>
      <x:c r="H9" s="74" t="str">
        <x:v>设计完成-待制作</x:v>
      </x:c>
    </x:row>
    <x:row r="10" ht="38" customHeight="1">
      <x:c r="A10" s="74" t="n">
        <x:v>5</x:v>
      </x:c>
      <x:c r="B10" s="74" t="str">
        <x:v>CHR-003-04</x:v>
      </x:c>
      <x:c r="C10" s="72" t="str">
        <x:v>CHR-003 轻机能服装与局部机械组件</x:v>
      </x:c>
      <x:c r="D10" s="72" t="str">
        <x:v>护膝</x:v>
      </x:c>
      <x:c r="E10" s="74" t="str">
        <x:v>模型</x:v>
      </x:c>
      <x:c r="F10" s="72" t="str">
        <x:v>模型/CHR-003_轻机能服装与局部机械组件/</x:v>
      </x:c>
      <x:c r="G10" s="72" t="str">
        <x:v>单项模型；轻量局部机械组件，避免遮挡腿部纹身。 现状核验：已有多套角色或服装概念图；尚无正式 FBX、统一骨骼、UV、PBR 或 Unity Prefab。</x:v>
      </x:c>
      <x:c r="H10" s="74" t="str">
        <x:v>设计完成-待制作</x:v>
      </x:c>
    </x:row>
    <x:row r="11" ht="38" customHeight="1">
      <x:c r="A11" s="74" t="n">
        <x:v>6</x:v>
      </x:c>
      <x:c r="B11" s="74" t="str">
        <x:v>CHR-003-05</x:v>
      </x:c>
      <x:c r="C11" s="72" t="str">
        <x:v>CHR-003 轻机能服装与局部机械组件</x:v>
      </x:c>
      <x:c r="D11" s="72" t="str">
        <x:v>分段裤</x:v>
      </x:c>
      <x:c r="E11" s="74" t="str">
        <x:v>模型</x:v>
      </x:c>
      <x:c r="F11" s="72" t="str">
        <x:v>模型/CHR-003_轻机能服装与局部机械组件/</x:v>
      </x:c>
      <x:c r="G11" s="72" t="str">
        <x:v>单项模型；生活化未来感；任意组合均可读到六部位刺青。 现状核验：已有多套角色或服装概念图；尚无正式 FBX、统一骨骼、UV、PBR 或 Unity Prefab。</x:v>
      </x:c>
      <x:c r="H11" s="74" t="str">
        <x:v>设计完成-待制作</x:v>
      </x:c>
    </x:row>
    <x:row r="12" ht="38" customHeight="1">
      <x:c r="A12" s="74" t="n">
        <x:v>7</x:v>
      </x:c>
      <x:c r="B12" s="74" t="str">
        <x:v>WPN-001-01</x:v>
      </x:c>
      <x:c r="C12" s="72" t="str">
        <x:v>WPN-001 基础武器组</x:v>
      </x:c>
      <x:c r="D12" s="72" t="str">
        <x:v>短刀</x:v>
      </x:c>
      <x:c r="E12" s="74" t="str">
        <x:v>模型</x:v>
      </x:c>
      <x:c r="F12" s="72" t="str">
        <x:v>模型/WPN-001_基础武器组/</x:v>
      </x:c>
      <x:c r="G12" s="72" t="str">
        <x:v>单项模型；干净主形体与可点亮颜料能量槽。 现状核验：已有 A/B/C 三套五武器概念设计板；尚无正式 FBX、UV、PBR、LOD、挂点或 Unity Prefab。</x:v>
      </x:c>
      <x:c r="H12" s="74" t="str">
        <x:v>设计完成-待制作</x:v>
      </x:c>
    </x:row>
    <x:row r="13" ht="38" customHeight="1">
      <x:c r="A13" s="74" t="n">
        <x:v>8</x:v>
      </x:c>
      <x:c r="B13" s="74" t="str">
        <x:v>WPN-001-02</x:v>
      </x:c>
      <x:c r="C13" s="72" t="str">
        <x:v>WPN-001 基础武器组</x:v>
      </x:c>
      <x:c r="D13" s="72" t="str">
        <x:v>重锤</x:v>
      </x:c>
      <x:c r="E13" s="74" t="str">
        <x:v>模型</x:v>
      </x:c>
      <x:c r="F13" s="72" t="str">
        <x:v>模型/WPN-001_基础武器组/</x:v>
      </x:c>
      <x:c r="G13" s="72" t="str">
        <x:v>单项模型；中远距离可辨识的重量级轮廓。 现状核验：已有 A/B/C 三套五武器概念设计板；尚无正式 FBX、UV、PBR、LOD、挂点或 Unity Prefab。</x:v>
      </x:c>
      <x:c r="H13" s="74" t="str">
        <x:v>设计完成-待制作</x:v>
      </x:c>
    </x:row>
    <x:row r="14" ht="38" customHeight="1">
      <x:c r="A14" s="74" t="n">
        <x:v>9</x:v>
      </x:c>
      <x:c r="B14" s="74" t="str">
        <x:v>WPN-001-03</x:v>
      </x:c>
      <x:c r="C14" s="72" t="str">
        <x:v>WPN-001 基础武器组</x:v>
      </x:c>
      <x:c r="D14" s="72" t="str">
        <x:v>手枪</x:v>
      </x:c>
      <x:c r="E14" s="74" t="str">
        <x:v>模型</x:v>
      </x:c>
      <x:c r="F14" s="72" t="str">
        <x:v>模型/WPN-001_基础武器组/</x:v>
      </x:c>
      <x:c r="G14" s="72" t="str">
        <x:v>单项模型；避免写实军武语汇；保留明亮活性颜料世界材质语言。 现状核验：已有 A/B/C 三套五武器概念设计板；尚无正式 FBX、UV、PBR、LOD、挂点或 Unity Prefab。</x:v>
      </x:c>
      <x:c r="H14" s="74" t="str">
        <x:v>设计完成-待制作</x:v>
      </x:c>
    </x:row>
    <x:row r="15" ht="38" customHeight="1">
      <x:c r="A15" s="74" t="n">
        <x:v>10</x:v>
      </x:c>
      <x:c r="B15" s="74" t="str">
        <x:v>WPN-001-04</x:v>
      </x:c>
      <x:c r="C15" s="72" t="str">
        <x:v>WPN-001 基础武器组</x:v>
      </x:c>
      <x:c r="D15" s="72" t="str">
        <x:v>弓</x:v>
      </x:c>
      <x:c r="E15" s="74" t="str">
        <x:v>模型</x:v>
      </x:c>
      <x:c r="F15" s="72" t="str">
        <x:v>模型/WPN-001_基础武器组/</x:v>
      </x:c>
      <x:c r="G15" s="72" t="str">
        <x:v>单项模型；弦端接口可表达颜料能量反应区。 现状核验：已有 A/B/C 三套五武器概念设计板；尚无正式 FBX、UV、PBR、LOD、挂点或 Unity Prefab。</x:v>
      </x:c>
      <x:c r="H15" s="74" t="str">
        <x:v>设计完成-待制作</x:v>
      </x:c>
    </x:row>
    <x:row r="16" ht="38" customHeight="1">
      <x:c r="A16" s="74" t="n">
        <x:v>11</x:v>
      </x:c>
      <x:c r="B16" s="74" t="str">
        <x:v>WPN-001-05</x:v>
      </x:c>
      <x:c r="C16" s="72" t="str">
        <x:v>WPN-001 基础武器组</x:v>
      </x:c>
      <x:c r="D16" s="72" t="str">
        <x:v>能量拳套</x:v>
      </x:c>
      <x:c r="E16" s="74" t="str">
        <x:v>模型</x:v>
      </x:c>
      <x:c r="F16" s="72" t="str">
        <x:v>模型/WPN-001_基础武器组/</x:v>
      </x:c>
      <x:c r="G16" s="72" t="str">
        <x:v>单项模型；与手臂、刺青和 VFX 共用圆角与能量语言。 现状核验：已有 A/B/C 三套五武器概念设计板；尚无正式 FBX、UV、PBR、LOD、挂点或 Unity Prefab。</x:v>
      </x:c>
      <x:c r="H16" s="74" t="str">
        <x:v>设计完成-待制作</x:v>
      </x:c>
    </x:row>
    <x:row r="17" ht="38" customHeight="1">
      <x:c r="A17" s="74" t="n">
        <x:v>12</x:v>
      </x:c>
      <x:c r="B17" s="74" t="str">
        <x:v>NPC-001-01</x:v>
      </x:c>
      <x:c r="C17" s="72" t="str">
        <x:v>NPC-001 活性颜料污染 NPC</x:v>
      </x:c>
      <x:c r="D17" s="72" t="str">
        <x:v>失控城市维护体</x:v>
      </x:c>
      <x:c r="E17" s="74" t="str">
        <x:v>模型</x:v>
      </x:c>
      <x:c r="F17" s="72" t="str">
        <x:v>模型/NPC-001_活性颜料污染NPC/</x:v>
      </x:c>
      <x:c r="G17" s="72" t="str">
        <x:v>单项模型；基础敌人模型；完整浅色外壳、单一颜料故障窗口与清晰工具臂攻击前摇。 现状核验：规定路径未发现可验收的正式 FBX、PBR 贴图和 Unity Prefab。</x:v>
      </x:c>
      <x:c r="H17" s="74" t="str">
        <x:v>待制作</x:v>
      </x:c>
    </x:row>
    <x:row r="18" ht="38" customHeight="1">
      <x:c r="A18" s="74" t="n">
        <x:v>13</x:v>
      </x:c>
      <x:c r="B18" s="74" t="str">
        <x:v>ENV-END-MAP-01</x:v>
      </x:c>
      <x:c r="C18" s="72" t="str">
        <x:v>ENV-End 绿洲新城</x:v>
      </x:c>
      <x:c r="D18" s="72" t="str">
        <x:v>地图设计、地形与可运行场景</x:v>
      </x:c>
      <x:c r="E18" s="74" t="str">
        <x:v>场景</x:v>
      </x:c>
      <x:c r="F18" s="72" t="str">
        <x:v>模型/ENV-End-绿洲新城/地图设计/</x:v>
      </x:c>
      <x:c r="G18" s="72" t="str">
        <x:v>正交俯视、鸟瞰和建筑类型规划图已完成；Assets/Game/Scene/OasisCity.unity 已生成，含地形、道路、河流、城墙、碰撞与 NavMesh。自动结构和导航烟测已通过，仍需人工视觉、地形细化与性能 A 标准验收。</x:v>
      </x:c>
      <x:c r="H18" s="74" t="str">
        <x:v>待验收</x:v>
      </x:c>
    </x:row>
    <x:row r="19" ht="38" customHeight="1">
      <x:c r="A19" s="74" t="n">
        <x:v>14</x:v>
      </x:c>
      <x:c r="B19" s="74" t="str">
        <x:v>ENV-END-BF-01</x:v>
      </x:c>
      <x:c r="C19" s="72" t="str">
        <x:v>ENV-End 绿洲新城·24 栋建筑</x:v>
      </x:c>
      <x:c r="D19" s="72" t="str">
        <x:v>晖纹纹身庭</x:v>
      </x:c>
      <x:c r="E19" s="74" t="str">
        <x:v>模型</x:v>
      </x:c>
      <x:c r="F19" s="72" t="str">
        <x:v>模型/ENV-End-绿洲新城/建筑设计/BF-01_晖纹纹身庭/</x:v>
      </x:c>
      <x:c r="G19" s="72" t="str">
        <x:v>正式导出链完整：1 个 FBX、22 张设计或 PBR 贴图，并已配置 Unity 材质与 PF_Oasis_BF01 Prefab；24/24 栋文件链校验无缺项。</x:v>
      </x:c>
      <x:c r="H19" s="74" t="str">
        <x:v>已完成-符合</x:v>
      </x:c>
    </x:row>
    <x:row r="20" ht="38" customHeight="1">
      <x:c r="A20" s="74" t="n">
        <x:v>15</x:v>
      </x:c>
      <x:c r="B20" s="74" t="str">
        <x:v>ENV-END-BF-02</x:v>
      </x:c>
      <x:c r="C20" s="72" t="str">
        <x:v>ENV-End 绿洲新城·24 栋建筑</x:v>
      </x:c>
      <x:c r="D20" s="72" t="str">
        <x:v>颜料与耗材商店</x:v>
      </x:c>
      <x:c r="E20" s="74" t="str">
        <x:v>模型</x:v>
      </x:c>
      <x:c r="F20" s="72" t="str">
        <x:v>模型/ENV-End-绿洲新城/建筑设计/BF-02_颜料与耗材商店/</x:v>
      </x:c>
      <x:c r="G20" s="72" t="str">
        <x:v>正式导出链完整：1 个 FBX、19 张设计或 PBR 贴图，并已配置 Unity 材质与 PF_Oasis_BF02 Prefab；24/24 栋文件链校验无缺项。</x:v>
      </x:c>
      <x:c r="H20" s="74" t="str">
        <x:v>已完成-符合</x:v>
      </x:c>
    </x:row>
    <x:row r="21" ht="38" customHeight="1">
      <x:c r="A21" s="74" t="n">
        <x:v>16</x:v>
      </x:c>
      <x:c r="B21" s="74" t="str">
        <x:v>ENV-END-BF-03</x:v>
      </x:c>
      <x:c r="C21" s="72" t="str">
        <x:v>ENV-End 绿洲新城·24 栋建筑</x:v>
      </x:c>
      <x:c r="D21" s="72" t="str">
        <x:v>旅行补给</x:v>
      </x:c>
      <x:c r="E21" s="74" t="str">
        <x:v>模型</x:v>
      </x:c>
      <x:c r="F21" s="72" t="str">
        <x:v>模型/ENV-End-绿洲新城/建筑设计/BF-03_旅行补给/</x:v>
      </x:c>
      <x:c r="G21" s="72" t="str">
        <x:v>正式导出链完整：1 个 FBX、19 张设计或 PBR 贴图，并已配置 Unity 材质与 PF_Oasis_BF03 Prefab；24/24 栋文件链校验无缺项。</x:v>
      </x:c>
      <x:c r="H21" s="74" t="str">
        <x:v>已完成-符合</x:v>
      </x:c>
    </x:row>
    <x:row r="22" ht="38" customHeight="1">
      <x:c r="A22" s="74" t="n">
        <x:v>17</x:v>
      </x:c>
      <x:c r="B22" s="74" t="str">
        <x:v>ENV-END-BF-04</x:v>
      </x:c>
      <x:c r="C22" s="72" t="str">
        <x:v>ENV-End 绿洲新城·24 栋建筑</x:v>
      </x:c>
      <x:c r="D22" s="72" t="str">
        <x:v>旧物零件</x:v>
      </x:c>
      <x:c r="E22" s="74" t="str">
        <x:v>模型</x:v>
      </x:c>
      <x:c r="F22" s="72" t="str">
        <x:v>模型/ENV-End-绿洲新城/建筑设计/BF-04_旧物零件/</x:v>
      </x:c>
      <x:c r="G22" s="72" t="str">
        <x:v>正式导出链完整：1 个 FBX、19 张设计或 PBR 贴图，并已配置 Unity 材质与 PF_Oasis_BF04 Prefab；24/24 栋文件链校验无缺项。</x:v>
      </x:c>
      <x:c r="H22" s="74" t="str">
        <x:v>已完成-符合</x:v>
      </x:c>
    </x:row>
    <x:row r="23" ht="38" customHeight="1">
      <x:c r="A23" s="74" t="n">
        <x:v>18</x:v>
      </x:c>
      <x:c r="B23" s="74" t="str">
        <x:v>ENV-END-BF-05</x:v>
      </x:c>
      <x:c r="C23" s="72" t="str">
        <x:v>ENV-End 绿洲新城·24 栋建筑</x:v>
      </x:c>
      <x:c r="D23" s="72" t="str">
        <x:v>织物饰品</x:v>
      </x:c>
      <x:c r="E23" s="74" t="str">
        <x:v>模型</x:v>
      </x:c>
      <x:c r="F23" s="72" t="str">
        <x:v>模型/ENV-End-绿洲新城/建筑设计/BF-05_织物饰品/</x:v>
      </x:c>
      <x:c r="G23" s="72" t="str">
        <x:v>正式导出链完整：1 个 FBX、19 张设计或 PBR 贴图，并已配置 Unity 材质与 PF_Oasis_BF05 Prefab；24/24 栋文件链校验无缺项。</x:v>
      </x:c>
      <x:c r="H23" s="74" t="str">
        <x:v>已完成-符合</x:v>
      </x:c>
    </x:row>
    <x:row r="24" ht="38" customHeight="1">
      <x:c r="A24" s="74" t="n">
        <x:v>19</x:v>
      </x:c>
      <x:c r="B24" s="74" t="str">
        <x:v>ENV-END-BF-06</x:v>
      </x:c>
      <x:c r="C24" s="72" t="str">
        <x:v>ENV-End 绿洲新城·24 栋建筑</x:v>
      </x:c>
      <x:c r="D24" s="72" t="str">
        <x:v>Boss专属建筑</x:v>
      </x:c>
      <x:c r="E24" s="74" t="str">
        <x:v>模型</x:v>
      </x:c>
      <x:c r="F24" s="72" t="str">
        <x:v>模型/ENV-End-绿洲新城/建筑设计/BF-06_Boss专属建筑/</x:v>
      </x:c>
      <x:c r="G24" s="72" t="str">
        <x:v>正式导出链完整：1 个 FBX、22 张设计或 PBR 贴图，并已配置 Unity 材质与 PF_Oasis_BF06 Prefab；24/24 栋文件链校验无缺项。</x:v>
      </x:c>
      <x:c r="H24" s="74" t="str">
        <x:v>已完成-符合</x:v>
      </x:c>
    </x:row>
    <x:row r="25" ht="38" customHeight="1">
      <x:c r="A25" s="74" t="n">
        <x:v>20</x:v>
      </x:c>
      <x:c r="B25" s="74" t="str">
        <x:v>ENV-END-BF-07</x:v>
      </x:c>
      <x:c r="C25" s="72" t="str">
        <x:v>ENV-End 绿洲新城·24 栋建筑</x:v>
      </x:c>
      <x:c r="D25" s="72" t="str">
        <x:v>商旅行馆</x:v>
      </x:c>
      <x:c r="E25" s="74" t="str">
        <x:v>模型</x:v>
      </x:c>
      <x:c r="F25" s="72" t="str">
        <x:v>模型/ENV-End-绿洲新城/建筑设计/BF-07_商旅行馆/</x:v>
      </x:c>
      <x:c r="G25" s="72" t="str">
        <x:v>正式导出链完整：1 个 FBX、22 张设计或 PBR 贴图，并已配置 Unity 材质与 PF_Oasis_BF07 Prefab；24/24 栋文件链校验无缺项。</x:v>
      </x:c>
      <x:c r="H25" s="74" t="str">
        <x:v>已完成-符合</x:v>
      </x:c>
    </x:row>
    <x:row r="26" ht="38" customHeight="1">
      <x:c r="A26" s="74" t="n">
        <x:v>21</x:v>
      </x:c>
      <x:c r="B26" s="74" t="str">
        <x:v>ENV-END-BF-08</x:v>
      </x:c>
      <x:c r="C26" s="72" t="str">
        <x:v>ENV-End 绿洲新城·24 栋建筑</x:v>
      </x:c>
      <x:c r="D26" s="72" t="str">
        <x:v>水庭浴疗所</x:v>
      </x:c>
      <x:c r="E26" s="74" t="str">
        <x:v>模型</x:v>
      </x:c>
      <x:c r="F26" s="72" t="str">
        <x:v>模型/ENV-End-绿洲新城/建筑设计/BF-08_水庭浴疗所/</x:v>
      </x:c>
      <x:c r="G26" s="72" t="str">
        <x:v>正式导出链完整：1 个 FBX、18 张设计或 PBR 贴图，并已配置 Unity 材质与 PF_Oasis_BF08 Prefab；24/24 栋文件链校验无缺项。</x:v>
      </x:c>
      <x:c r="H26" s="74" t="str">
        <x:v>已完成-符合</x:v>
      </x:c>
    </x:row>
    <x:row r="27" ht="38" customHeight="1">
      <x:c r="A27" s="74" t="n">
        <x:v>22</x:v>
      </x:c>
      <x:c r="B27" s="74" t="str">
        <x:v>ENV-END-BF-09</x:v>
      </x:c>
      <x:c r="C27" s="72" t="str">
        <x:v>ENV-End 绿洲新城·24 栋建筑</x:v>
      </x:c>
      <x:c r="D27" s="72" t="str">
        <x:v>档案馆</x:v>
      </x:c>
      <x:c r="E27" s="74" t="str">
        <x:v>模型</x:v>
      </x:c>
      <x:c r="F27" s="72" t="str">
        <x:v>模型/ENV-End-绿洲新城/建筑设计/BF-09_档案馆/</x:v>
      </x:c>
      <x:c r="G27" s="72" t="str">
        <x:v>正式导出链完整：1 个 FBX、19 张设计或 PBR 贴图，并已配置 Unity 材质与 PF_Oasis_BF09 Prefab；24/24 栋文件链校验无缺项。</x:v>
      </x:c>
      <x:c r="H27" s="74" t="str">
        <x:v>已完成-符合</x:v>
      </x:c>
    </x:row>
    <x:row r="28" ht="38" customHeight="1">
      <x:c r="A28" s="74" t="n">
        <x:v>23</x:v>
      </x:c>
      <x:c r="B28" s="74" t="str">
        <x:v>ENV-END-BF-10</x:v>
      </x:c>
      <x:c r="C28" s="72" t="str">
        <x:v>ENV-End 绿洲新城·24 栋建筑</x:v>
      </x:c>
      <x:c r="D28" s="72" t="str">
        <x:v>公告协作厅</x:v>
      </x:c>
      <x:c r="E28" s="74" t="str">
        <x:v>模型</x:v>
      </x:c>
      <x:c r="F28" s="72" t="str">
        <x:v>模型/ENV-End-绿洲新城/建筑设计/BF-10_公告协作厅/</x:v>
      </x:c>
      <x:c r="G28" s="72" t="str">
        <x:v>正式导出链完整：1 个 FBX、24 张设计或 PBR 贴图，并已配置 Unity 材质与 PF_Oasis_BF10 Prefab；24/24 栋文件链校验无缺项。</x:v>
      </x:c>
      <x:c r="H28" s="74" t="str">
        <x:v>已完成-符合</x:v>
      </x:c>
    </x:row>
    <x:row r="29" ht="38" customHeight="1">
      <x:c r="A29" s="74" t="n">
        <x:v>24</x:v>
      </x:c>
      <x:c r="B29" s="74" t="str">
        <x:v>ENV-END-BF-11</x:v>
      </x:c>
      <x:c r="C29" s="72" t="str">
        <x:v>ENV-End 绿洲新城·24 栋建筑</x:v>
      </x:c>
      <x:c r="D29" s="72" t="str">
        <x:v>导水维护所</x:v>
      </x:c>
      <x:c r="E29" s="74" t="str">
        <x:v>模型</x:v>
      </x:c>
      <x:c r="F29" s="72" t="str">
        <x:v>模型/ENV-End-绿洲新城/建筑设计/BF-11_导水维护所/</x:v>
      </x:c>
      <x:c r="G29" s="72" t="str">
        <x:v>正式导出链完整：1 个 FBX、31 张设计或 PBR 贴图，并已配置 Unity 材质与 PF_Oasis_BF11 Prefab；24/24 栋文件链校验无缺项。</x:v>
      </x:c>
      <x:c r="H29" s="74" t="str">
        <x:v>已完成-符合</x:v>
      </x:c>
    </x:row>
    <x:row r="30" ht="38" customHeight="1">
      <x:c r="A30" s="74" t="n">
        <x:v>25</x:v>
      </x:c>
      <x:c r="B30" s="74" t="str">
        <x:v>ENV-END-BF-12</x:v>
      </x:c>
      <x:c r="C30" s="72" t="str">
        <x:v>ENV-End 绿洲新城·24 栋建筑</x:v>
      </x:c>
      <x:c r="D30" s="72" t="str">
        <x:v>风塔服务站</x:v>
      </x:c>
      <x:c r="E30" s="74" t="str">
        <x:v>模型</x:v>
      </x:c>
      <x:c r="F30" s="72" t="str">
        <x:v>模型/ENV-End-绿洲新城/建筑设计/BF-12_风塔服务站/</x:v>
      </x:c>
      <x:c r="G30" s="72" t="str">
        <x:v>正式导出链完整：1 个 FBX、31 张设计或 PBR 贴图，并已配置 Unity 材质与 PF_Oasis_BF12 Prefab；24/24 栋文件链校验无缺项。</x:v>
      </x:c>
      <x:c r="H30" s="74" t="str">
        <x:v>已完成-符合</x:v>
      </x:c>
    </x:row>
    <x:row r="31" ht="38" customHeight="1">
      <x:c r="A31" s="74" t="n">
        <x:v>26</x:v>
      </x:c>
      <x:c r="B31" s="74" t="str">
        <x:v>ENV-END-BF-13</x:v>
      </x:c>
      <x:c r="C31" s="72" t="str">
        <x:v>ENV-End 绿洲新城·24 栋建筑</x:v>
      </x:c>
      <x:c r="D31" s="72" t="str">
        <x:v>机械修造工坊</x:v>
      </x:c>
      <x:c r="E31" s="74" t="str">
        <x:v>模型</x:v>
      </x:c>
      <x:c r="F31" s="72" t="str">
        <x:v>模型/ENV-End-绿洲新城/建筑设计/BF-13_机械修造工坊/</x:v>
      </x:c>
      <x:c r="G31" s="72" t="str">
        <x:v>正式导出链完整：1 个 FBX、28 张设计或 PBR 贴图，并已配置 Unity 材质与 PF_Oasis_BF13 Prefab；24/24 栋文件链校验无缺项。</x:v>
      </x:c>
      <x:c r="H31" s="74" t="str">
        <x:v>已完成-符合</x:v>
      </x:c>
    </x:row>
    <x:row r="32" ht="38" customHeight="1">
      <x:c r="A32" s="74" t="n">
        <x:v>27</x:v>
      </x:c>
      <x:c r="B32" s="74" t="str">
        <x:v>ENV-END-BF-14</x:v>
      </x:c>
      <x:c r="C32" s="72" t="str">
        <x:v>ENV-End 绿洲新城·24 栋建筑</x:v>
      </x:c>
      <x:c r="D32" s="72" t="str">
        <x:v>染料织物工坊</x:v>
      </x:c>
      <x:c r="E32" s="74" t="str">
        <x:v>模型</x:v>
      </x:c>
      <x:c r="F32" s="72" t="str">
        <x:v>模型/ENV-End-绿洲新城/建筑设计/BF-14_染料织物工坊/</x:v>
      </x:c>
      <x:c r="G32" s="72" t="str">
        <x:v>正式导出链完整：1 个 FBX、28 张设计或 PBR 贴图，并已配置 Unity 材质与 PF_Oasis_BF14 Prefab；24/24 栋文件链校验无缺项。</x:v>
      </x:c>
      <x:c r="H32" s="74" t="str">
        <x:v>已完成-符合</x:v>
      </x:c>
    </x:row>
    <x:row r="33" ht="38" customHeight="1">
      <x:c r="A33" s="74" t="n">
        <x:v>28</x:v>
      </x:c>
      <x:c r="B33" s="74" t="str">
        <x:v>ENV-END-BF-15</x:v>
      </x:c>
      <x:c r="C33" s="72" t="str">
        <x:v>ENV-End 绿洲新城·24 栋建筑</x:v>
      </x:c>
      <x:c r="D33" s="72" t="str">
        <x:v>釉面与金工工坊</x:v>
      </x:c>
      <x:c r="E33" s="74" t="str">
        <x:v>模型</x:v>
      </x:c>
      <x:c r="F33" s="72" t="str">
        <x:v>模型/ENV-End-绿洲新城/建筑设计/BF-15_釉面与金工工坊/</x:v>
      </x:c>
      <x:c r="G33" s="72" t="str">
        <x:v>正式导出链完整：1 个 FBX、27 张设计或 PBR 贴图，并已配置 Unity 材质与 PF_Oasis_BF15 Prefab；24/24 栋文件链校验无缺项。</x:v>
      </x:c>
      <x:c r="H33" s="74" t="str">
        <x:v>已完成-符合</x:v>
      </x:c>
    </x:row>
    <x:row r="34" ht="38" customHeight="1">
      <x:c r="A34" s="74" t="n">
        <x:v>29</x:v>
      </x:c>
      <x:c r="B34" s="74" t="str">
        <x:v>ENV-END-BF-16</x:v>
      </x:c>
      <x:c r="C34" s="72" t="str">
        <x:v>ENV-End 绿洲新城·24 栋建筑</x:v>
      </x:c>
      <x:c r="D34" s="72" t="str">
        <x:v>商旅仓库</x:v>
      </x:c>
      <x:c r="E34" s="74" t="str">
        <x:v>模型</x:v>
      </x:c>
      <x:c r="F34" s="72" t="str">
        <x:v>模型/ENV-End-绿洲新城/建筑设计/BF-16_商旅仓库/</x:v>
      </x:c>
      <x:c r="G34" s="72" t="str">
        <x:v>正式导出链完整：1 个 FBX、31 张设计或 PBR 贴图，并已配置 Unity 材质与 PF_Oasis_BF16 Prefab；24/24 栋文件链校验无缺项。</x:v>
      </x:c>
      <x:c r="H34" s="74" t="str">
        <x:v>已完成-符合</x:v>
      </x:c>
    </x:row>
    <x:row r="35" ht="38" customHeight="1">
      <x:c r="A35" s="74" t="n">
        <x:v>30</x:v>
      </x:c>
      <x:c r="B35" s="74" t="str">
        <x:v>ENV-END-BF-17</x:v>
      </x:c>
      <x:c r="C35" s="72" t="str">
        <x:v>ENV-End 绿洲新城·24 栋建筑</x:v>
      </x:c>
      <x:c r="D35" s="72" t="str">
        <x:v>庭院家庭住宅</x:v>
      </x:c>
      <x:c r="E35" s="74" t="str">
        <x:v>模型</x:v>
      </x:c>
      <x:c r="F35" s="72" t="str">
        <x:v>模型/ENV-End-绿洲新城/建筑设计/BF-17_庭院家庭住宅/</x:v>
      </x:c>
      <x:c r="G35" s="72" t="str">
        <x:v>正式导出链完整：1 个 FBX、28 张设计或 PBR 贴图，并已配置 Unity 材质与 PF_Oasis_BF17 Prefab；24/24 栋文件链校验无缺项。</x:v>
      </x:c>
      <x:c r="H35" s="74" t="str">
        <x:v>已完成-符合</x:v>
      </x:c>
    </x:row>
    <x:row r="36" ht="38" customHeight="1">
      <x:c r="A36" s="74" t="n">
        <x:v>31</x:v>
      </x:c>
      <x:c r="B36" s="74" t="str">
        <x:v>ENV-END-BF-18</x:v>
      </x:c>
      <x:c r="C36" s="72" t="str">
        <x:v>ENV-End 绿洲新城·24 栋建筑</x:v>
      </x:c>
      <x:c r="D36" s="72" t="str">
        <x:v>叠层出租住宅</x:v>
      </x:c>
      <x:c r="E36" s="74" t="str">
        <x:v>模型</x:v>
      </x:c>
      <x:c r="F36" s="72" t="str">
        <x:v>模型/ENV-End-绿洲新城/建筑设计/BF-18_叠层出租住宅/</x:v>
      </x:c>
      <x:c r="G36" s="72" t="str">
        <x:v>正式导出链完整：1 个 FBX、31 张设计或 PBR 贴图，并已配置 Unity 材质与 PF_Oasis_BF18 Prefab；24/24 栋文件链校验无缺项。</x:v>
      </x:c>
      <x:c r="H36" s="74" t="str">
        <x:v>已完成-符合</x:v>
      </x:c>
    </x:row>
    <x:row r="37" ht="38" customHeight="1">
      <x:c r="A37" s="74" t="n">
        <x:v>32</x:v>
      </x:c>
      <x:c r="B37" s="74" t="str">
        <x:v>ENV-END-BF-19</x:v>
      </x:c>
      <x:c r="C37" s="72" t="str">
        <x:v>ENV-End 绿洲新城·24 栋建筑</x:v>
      </x:c>
      <x:c r="D37" s="72" t="str">
        <x:v>屋顶花园住宅</x:v>
      </x:c>
      <x:c r="E37" s="74" t="str">
        <x:v>模型</x:v>
      </x:c>
      <x:c r="F37" s="72" t="str">
        <x:v>模型/ENV-End-绿洲新城/建筑设计/BF-19_屋顶花园住宅/</x:v>
      </x:c>
      <x:c r="G37" s="72" t="str">
        <x:v>正式导出链完整：1 个 FBX、31 张设计或 PBR 贴图，并已配置 Unity 材质与 PF_Oasis_BF19 Prefab；24/24 栋文件链校验无缺项。</x:v>
      </x:c>
      <x:c r="H37" s="74" t="str">
        <x:v>已完成-符合</x:v>
      </x:c>
    </x:row>
    <x:row r="38" ht="38" customHeight="1">
      <x:c r="A38" s="74" t="n">
        <x:v>33</x:v>
      </x:c>
      <x:c r="B38" s="74" t="str">
        <x:v>ENV-END-BF-20</x:v>
      </x:c>
      <x:c r="C38" s="72" t="str">
        <x:v>ENV-End 绿洲新城·24 栋建筑</x:v>
      </x:c>
      <x:c r="D38" s="72" t="str">
        <x:v>巷道窄面住宅</x:v>
      </x:c>
      <x:c r="E38" s="74" t="str">
        <x:v>模型</x:v>
      </x:c>
      <x:c r="F38" s="72" t="str">
        <x:v>模型/ENV-End-绿洲新城/建筑设计/BF-20_巷道窄面住宅/</x:v>
      </x:c>
      <x:c r="G38" s="72" t="str">
        <x:v>正式导出链完整：1 个 FBX、28 张设计或 PBR 贴图，并已配置 Unity 材质与 PF_Oasis_BF20 Prefab；24/24 栋文件链校验无缺项。</x:v>
      </x:c>
      <x:c r="H38" s="74" t="str">
        <x:v>已完成-符合</x:v>
      </x:c>
    </x:row>
    <x:row r="39" ht="38" customHeight="1">
      <x:c r="A39" s="74" t="n">
        <x:v>34</x:v>
      </x:c>
      <x:c r="B39" s="74" t="str">
        <x:v>ENV-END-BF-21</x:v>
      </x:c>
      <x:c r="C39" s="72" t="str">
        <x:v>ENV-End 绿洲新城·24 栋建筑</x:v>
      </x:c>
      <x:c r="D39" s="72" t="str">
        <x:v>小型手艺人住店</x:v>
      </x:c>
      <x:c r="E39" s="74" t="str">
        <x:v>模型</x:v>
      </x:c>
      <x:c r="F39" s="72" t="str">
        <x:v>模型/ENV-End-绿洲新城/建筑设计/BF-21_小型手艺人住店/</x:v>
      </x:c>
      <x:c r="G39" s="72" t="str">
        <x:v>正式导出链完整：1 个 FBX、31 张设计或 PBR 贴图，并已配置 Unity 材质与 PF_Oasis_BF21 Prefab；24/24 栋文件链校验无缺项。</x:v>
      </x:c>
      <x:c r="H39" s="74" t="str">
        <x:v>已完成-符合</x:v>
      </x:c>
    </x:row>
    <x:row r="40" ht="38" customHeight="1">
      <x:c r="A40" s="74" t="n">
        <x:v>35</x:v>
      </x:c>
      <x:c r="B40" s="74" t="str">
        <x:v>ENV-END-BF-22</x:v>
      </x:c>
      <x:c r="C40" s="72" t="str">
        <x:v>ENV-End 绿洲新城·24 栋建筑</x:v>
      </x:c>
      <x:c r="D40" s="72" t="str">
        <x:v>封存旧宅</x:v>
      </x:c>
      <x:c r="E40" s="74" t="str">
        <x:v>模型</x:v>
      </x:c>
      <x:c r="F40" s="72" t="str">
        <x:v>模型/ENV-End-绿洲新城/建筑设计/BF-22_封存旧宅/</x:v>
      </x:c>
      <x:c r="G40" s="72" t="str">
        <x:v>正式导出链完整：1 个 FBX、24 张设计或 PBR 贴图，并已配置 Unity 材质与 PF_Oasis_BF22 Prefab；24/24 栋文件链校验无缺项。</x:v>
      </x:c>
      <x:c r="H40" s="74" t="str">
        <x:v>已完成-符合</x:v>
      </x:c>
    </x:row>
    <x:row r="41" ht="38" customHeight="1">
      <x:c r="A41" s="74" t="n">
        <x:v>36</x:v>
      </x:c>
      <x:c r="B41" s="74" t="str">
        <x:v>ENV-END-BF-23</x:v>
      </x:c>
      <x:c r="C41" s="72" t="str">
        <x:v>ENV-End 绿洲新城·24 栋建筑</x:v>
      </x:c>
      <x:c r="D41" s="72" t="str">
        <x:v>城门巡查所</x:v>
      </x:c>
      <x:c r="E41" s="74" t="str">
        <x:v>模型</x:v>
      </x:c>
      <x:c r="F41" s="72" t="str">
        <x:v>模型/ENV-End-绿洲新城/建筑设计/BF-23_城门巡查所/</x:v>
      </x:c>
      <x:c r="G41" s="72" t="str">
        <x:v>正式导出链完整：1 个 FBX、24 张设计或 PBR 贴图，并已配置 Unity 材质与 PF_Oasis_BF23 Prefab；24/24 栋文件链校验无缺项。</x:v>
      </x:c>
      <x:c r="H41" s="74" t="str">
        <x:v>已完成-符合</x:v>
      </x:c>
    </x:row>
    <x:row r="42" ht="38" customHeight="1">
      <x:c r="A42" s="74" t="n">
        <x:v>37</x:v>
      </x:c>
      <x:c r="B42" s="74" t="str">
        <x:v>ENV-END-BF-24</x:v>
      </x:c>
      <x:c r="C42" s="72" t="str">
        <x:v>ENV-End 绿洲新城·24 栋建筑</x:v>
      </x:c>
      <x:c r="D42" s="72" t="str">
        <x:v>蓄水池检修屋</x:v>
      </x:c>
      <x:c r="E42" s="74" t="str">
        <x:v>模型</x:v>
      </x:c>
      <x:c r="F42" s="72" t="str">
        <x:v>模型/ENV-End-绿洲新城/建筑设计/BF-24_蓄水池检修屋/</x:v>
      </x:c>
      <x:c r="G42" s="72" t="str">
        <x:v>正式导出链完整：1 个 FBX、22 张设计或 PBR 贴图，并已配置 Unity 材质与 PF_Oasis_BF24 Prefab；24/24 栋文件链校验无缺项。</x:v>
      </x:c>
      <x:c r="H42" s="74" t="str">
        <x:v>已完成-符合</x:v>
      </x:c>
    </x:row>
    <x:row r="43" ht="38" customHeight="1">
      <x:c r="A43" s="74" t="n">
        <x:v>38</x:v>
      </x:c>
      <x:c r="B43" s="74" t="str">
        <x:v>ENV-END-DE-01</x:v>
      </x:c>
      <x:c r="C43" s="72" t="str">
        <x:v>ENV-End 绿洲新城·场景装饰</x:v>
      </x:c>
      <x:c r="D43" s="72" t="str">
        <x:v>模块化石板路</x:v>
      </x:c>
      <x:c r="E43" s="74" t="str">
        <x:v>模型</x:v>
      </x:c>
      <x:c r="F43" s="72" t="str">
        <x:v>模型/ENV-End-绿洲新城/场景装饰/资产说明/DE-01_模块化石板路/</x:v>
      </x:c>
      <x:c r="G43" s="72" t="str">
        <x:v>设计说明、3 个 FBX 与 12 张设计或 PBR 贴图已交付；DE-01～DE-12 对应资源已配置 Unity 材质和 Prefab。</x:v>
      </x:c>
      <x:c r="H43" s="74" t="str">
        <x:v>已完成-符合</x:v>
      </x:c>
    </x:row>
    <x:row r="44" ht="38" customHeight="1">
      <x:c r="A44" s="74" t="n">
        <x:v>39</x:v>
      </x:c>
      <x:c r="B44" s="74" t="str">
        <x:v>ENV-END-DE-02</x:v>
      </x:c>
      <x:c r="C44" s="72" t="str">
        <x:v>ENV-End 绿洲新城·场景装饰</x:v>
      </x:c>
      <x:c r="D44" s="72" t="str">
        <x:v>马赛克边带</x:v>
      </x:c>
      <x:c r="E44" s="74" t="str">
        <x:v>模型</x:v>
      </x:c>
      <x:c r="F44" s="72" t="str">
        <x:v>模型/ENV-End-绿洲新城/场景装饰/资产说明/DE-02_马赛克边带/</x:v>
      </x:c>
      <x:c r="G44" s="72" t="str">
        <x:v>设计说明、3 个 FBX 与 12 张设计或 PBR 贴图已交付；DE-01～DE-12 对应资源已配置 Unity 材质和 Prefab。</x:v>
      </x:c>
      <x:c r="H44" s="74" t="str">
        <x:v>已完成-符合</x:v>
      </x:c>
    </x:row>
    <x:row r="45" ht="38" customHeight="1">
      <x:c r="A45" s="74" t="n">
        <x:v>40</x:v>
      </x:c>
      <x:c r="B45" s="74" t="str">
        <x:v>ENV-END-DE-03-1</x:v>
      </x:c>
      <x:c r="C45" s="72" t="str">
        <x:v>ENV-End 绿洲新城·场景装饰</x:v>
      </x:c>
      <x:c r="D45" s="72" t="str">
        <x:v>弧形地台</x:v>
      </x:c>
      <x:c r="E45" s="74" t="str">
        <x:v>模型</x:v>
      </x:c>
      <x:c r="F45" s="72" t="str">
        <x:v>模型/ENV-End-绿洲新城/场景装饰/资产说明/DE-03-1_弧形地台/</x:v>
      </x:c>
      <x:c r="G45" s="72" t="str">
        <x:v>设计说明、1 个 FBX 与 4 张设计或 PBR 贴图已交付；DE-01～DE-12 对应资源已配置 Unity 材质和 Prefab。</x:v>
      </x:c>
      <x:c r="H45" s="74" t="str">
        <x:v>已完成-符合</x:v>
      </x:c>
    </x:row>
    <x:row r="46" ht="38" customHeight="1">
      <x:c r="A46" s="74" t="n">
        <x:v>41</x:v>
      </x:c>
      <x:c r="B46" s="74" t="str">
        <x:v>ENV-END-DE-03-2</x:v>
      </x:c>
      <x:c r="C46" s="72" t="str">
        <x:v>ENV-End 绿洲新城·场景装饰</x:v>
      </x:c>
      <x:c r="D46" s="72" t="str">
        <x:v>台阶</x:v>
      </x:c>
      <x:c r="E46" s="74" t="str">
        <x:v>模型</x:v>
      </x:c>
      <x:c r="F46" s="72" t="str">
        <x:v>模型/ENV-End-绿洲新城/场景装饰/资产说明/DE-03-2_台阶/</x:v>
      </x:c>
      <x:c r="G46" s="72" t="str">
        <x:v>设计说明、1 个 FBX 与 4 张设计或 PBR 贴图已交付；DE-01～DE-12 对应资源已配置 Unity 材质和 Prefab。</x:v>
      </x:c>
      <x:c r="H46" s="74" t="str">
        <x:v>已完成-符合</x:v>
      </x:c>
    </x:row>
    <x:row r="47" ht="38" customHeight="1">
      <x:c r="A47" s="74" t="n">
        <x:v>42</x:v>
      </x:c>
      <x:c r="B47" s="74" t="str">
        <x:v>ENV-END-DE-04</x:v>
      </x:c>
      <x:c r="C47" s="72" t="str">
        <x:v>ENV-End 绿洲新城·场景装饰</x:v>
      </x:c>
      <x:c r="D47" s="72" t="str">
        <x:v>低矮导水槽</x:v>
      </x:c>
      <x:c r="E47" s="74" t="str">
        <x:v>模型</x:v>
      </x:c>
      <x:c r="F47" s="72" t="str">
        <x:v>模型/ENV-End-绿洲新城/场景装饰/资产说明/DE-04_低矮导水槽/</x:v>
      </x:c>
      <x:c r="G47" s="72" t="str">
        <x:v>设计说明、3 个 FBX 与 12 张设计或 PBR 贴图已交付；DE-01～DE-12 对应资源已配置 Unity 材质和 Prefab。</x:v>
      </x:c>
      <x:c r="H47" s="74" t="str">
        <x:v>已完成-符合</x:v>
      </x:c>
    </x:row>
    <x:row r="48" ht="38" customHeight="1">
      <x:c r="A48" s="74" t="n">
        <x:v>43</x:v>
      </x:c>
      <x:c r="B48" s="74" t="str">
        <x:v>ENV-END-DE-05-1</x:v>
      </x:c>
      <x:c r="C48" s="72" t="str">
        <x:v>ENV-End 绿洲新城·场景装饰</x:v>
      </x:c>
      <x:c r="D48" s="72" t="str">
        <x:v>浅水盆</x:v>
      </x:c>
      <x:c r="E48" s="74" t="str">
        <x:v>模型</x:v>
      </x:c>
      <x:c r="F48" s="72" t="str">
        <x:v>模型/ENV-End-绿洲新城/场景装饰/资产说明/DE-05-1_浅水盆/</x:v>
      </x:c>
      <x:c r="G48" s="72" t="str">
        <x:v>设计说明、1 个 FBX 与 4 张设计或 PBR 贴图已交付；DE-01～DE-12 对应资源已配置 Unity 材质和 Prefab。</x:v>
      </x:c>
      <x:c r="H48" s="74" t="str">
        <x:v>已完成-符合</x:v>
      </x:c>
    </x:row>
    <x:row r="49" ht="38" customHeight="1">
      <x:c r="A49" s="74" t="n">
        <x:v>44</x:v>
      </x:c>
      <x:c r="B49" s="74" t="str">
        <x:v>ENV-END-DE-05-2</x:v>
      </x:c>
      <x:c r="C49" s="72" t="str">
        <x:v>ENV-End 绿洲新城·场景装饰</x:v>
      </x:c>
      <x:c r="D49" s="72" t="str">
        <x:v>小喷泉</x:v>
      </x:c>
      <x:c r="E49" s="74" t="str">
        <x:v>模型</x:v>
      </x:c>
      <x:c r="F49" s="72" t="str">
        <x:v>模型/ENV-End-绿洲新城/场景装饰/资产说明/DE-05-2_小喷泉/</x:v>
      </x:c>
      <x:c r="G49" s="72" t="str">
        <x:v>设计说明、1 个 FBX 与 4 张设计或 PBR 贴图已交付；DE-01～DE-12 对应资源已配置 Unity 材质和 Prefab。</x:v>
      </x:c>
      <x:c r="H49" s="74" t="str">
        <x:v>已完成-符合</x:v>
      </x:c>
    </x:row>
    <x:row r="50" ht="38" customHeight="1">
      <x:c r="A50" s="74" t="n">
        <x:v>45</x:v>
      </x:c>
      <x:c r="B50" s="74" t="str">
        <x:v>ENV-END-DE-06</x:v>
      </x:c>
      <x:c r="C50" s="72" t="str">
        <x:v>ENV-End 绿洲新城·场景装饰</x:v>
      </x:c>
      <x:c r="D50" s="72" t="str">
        <x:v>多肉花坛</x:v>
      </x:c>
      <x:c r="E50" s="74" t="str">
        <x:v>模型</x:v>
      </x:c>
      <x:c r="F50" s="72" t="str">
        <x:v>模型/ENV-End-绿洲新城/场景装饰/资产说明/DE-06_多肉花坛/</x:v>
      </x:c>
      <x:c r="G50" s="72" t="str">
        <x:v>设计说明、3 个 FBX 与 12 张设计或 PBR 贴图已交付；DE-01～DE-12 对应资源已配置 Unity 材质和 Prefab。</x:v>
      </x:c>
      <x:c r="H50" s="74" t="str">
        <x:v>已完成-符合</x:v>
      </x:c>
    </x:row>
    <x:row r="51" ht="38" customHeight="1">
      <x:c r="A51" s="74" t="n">
        <x:v>46</x:v>
      </x:c>
      <x:c r="B51" s="74" t="str">
        <x:v>ENV-END-DE-07</x:v>
      </x:c>
      <x:c r="C51" s="72" t="str">
        <x:v>ENV-End 绿洲新城·场景装饰</x:v>
      </x:c>
      <x:c r="D51" s="72" t="str">
        <x:v>高盆棕榈</x:v>
      </x:c>
      <x:c r="E51" s="74" t="str">
        <x:v>模型</x:v>
      </x:c>
      <x:c r="F51" s="72" t="str">
        <x:v>模型/ENV-End-绿洲新城/场景装饰/资产说明/DE-07_高盆棕榈/</x:v>
      </x:c>
      <x:c r="G51" s="72" t="str">
        <x:v>设计说明、3 个 FBX 与 12 张设计或 PBR 贴图已交付；DE-01～DE-12 对应资源已配置 Unity 材质和 Prefab。</x:v>
      </x:c>
      <x:c r="H51" s="74" t="str">
        <x:v>已完成-符合</x:v>
      </x:c>
    </x:row>
    <x:row r="52" ht="38" customHeight="1">
      <x:c r="A52" s="74" t="n">
        <x:v>47</x:v>
      </x:c>
      <x:c r="B52" s="74" t="str">
        <x:v>ENV-END-DE-08</x:v>
      </x:c>
      <x:c r="C52" s="72" t="str">
        <x:v>ENV-End 绿洲新城·场景装饰</x:v>
      </x:c>
      <x:c r="D52" s="72" t="str">
        <x:v>悬挂绿植</x:v>
      </x:c>
      <x:c r="E52" s="74" t="str">
        <x:v>模型</x:v>
      </x:c>
      <x:c r="F52" s="72" t="str">
        <x:v>模型/ENV-End-绿洲新城/场景装饰/资产说明/DE-08_悬挂绿植/</x:v>
      </x:c>
      <x:c r="G52" s="72" t="str">
        <x:v>设计说明、3 个 FBX 与 12 张设计或 PBR 贴图已交付；DE-01～DE-12 对应资源已配置 Unity 材质和 Prefab。</x:v>
      </x:c>
      <x:c r="H52" s="74" t="str">
        <x:v>已完成-符合</x:v>
      </x:c>
    </x:row>
    <x:row r="53" ht="38" customHeight="1">
      <x:c r="A53" s="74" t="n">
        <x:v>48</x:v>
      </x:c>
      <x:c r="B53" s="74" t="str">
        <x:v>ENV-END-DE-09</x:v>
      </x:c>
      <x:c r="C53" s="72" t="str">
        <x:v>ENV-End 绿洲新城·场景装饰</x:v>
      </x:c>
      <x:c r="D53" s="72" t="str">
        <x:v>耐旱灌木群</x:v>
      </x:c>
      <x:c r="E53" s="74" t="str">
        <x:v>模型</x:v>
      </x:c>
      <x:c r="F53" s="72" t="str">
        <x:v>模型/ENV-End-绿洲新城/场景装饰/资产说明/DE-09_耐旱灌木群/</x:v>
      </x:c>
      <x:c r="G53" s="72" t="str">
        <x:v>设计说明、3 个 FBX 与 12 张设计或 PBR 贴图已交付；DE-01～DE-12 对应资源已配置 Unity 材质和 Prefab。</x:v>
      </x:c>
      <x:c r="H53" s="74" t="str">
        <x:v>已完成-符合</x:v>
      </x:c>
    </x:row>
    <x:row r="54" ht="38" customHeight="1">
      <x:c r="A54" s="74" t="n">
        <x:v>49</x:v>
      </x:c>
      <x:c r="B54" s="74" t="str">
        <x:v>ENV-END-DE-10</x:v>
      </x:c>
      <x:c r="C54" s="72" t="str">
        <x:v>ENV-End 绿洲新城·场景装饰</x:v>
      </x:c>
      <x:c r="D54" s="72" t="str">
        <x:v>遮阳帆</x:v>
      </x:c>
      <x:c r="E54" s="74" t="str">
        <x:v>模型</x:v>
      </x:c>
      <x:c r="F54" s="72" t="str">
        <x:v>模型/ENV-End-绿洲新城/场景装饰/资产说明/DE-10_遮阳帆/</x:v>
      </x:c>
      <x:c r="G54" s="72" t="str">
        <x:v>设计说明、3 个 FBX 与 12 张设计或 PBR 贴图已交付；DE-01～DE-12 对应资源已配置 Unity 材质和 Prefab。</x:v>
      </x:c>
      <x:c r="H54" s="74" t="str">
        <x:v>已完成-符合</x:v>
      </x:c>
    </x:row>
    <x:row r="55" ht="38" customHeight="1">
      <x:c r="A55" s="74" t="n">
        <x:v>50</x:v>
      </x:c>
      <x:c r="B55" s="74" t="str">
        <x:v>ENV-END-DE-11-1</x:v>
      </x:c>
      <x:c r="C55" s="72" t="str">
        <x:v>ENV-End 绿洲新城·场景装饰</x:v>
      </x:c>
      <x:c r="D55" s="72" t="str">
        <x:v>布幔</x:v>
      </x:c>
      <x:c r="E55" s="74" t="str">
        <x:v>模型</x:v>
      </x:c>
      <x:c r="F55" s="72" t="str">
        <x:v>模型/ENV-End-绿洲新城/场景装饰/资产说明/DE-11-1_布幔/</x:v>
      </x:c>
      <x:c r="G55" s="72" t="str">
        <x:v>设计说明、1 个 FBX 与 4 张设计或 PBR 贴图已交付；DE-01～DE-12 对应资源已配置 Unity 材质和 Prefab。</x:v>
      </x:c>
      <x:c r="H55" s="74" t="str">
        <x:v>已完成-符合</x:v>
      </x:c>
    </x:row>
    <x:row r="56" ht="38" customHeight="1">
      <x:c r="A56" s="74" t="n">
        <x:v>51</x:v>
      </x:c>
      <x:c r="B56" s="74" t="str">
        <x:v>ENV-END-DE-11-2</x:v>
      </x:c>
      <x:c r="C56" s="72" t="str">
        <x:v>ENV-End 绿洲新城·场景装饰</x:v>
      </x:c>
      <x:c r="D56" s="72" t="str">
        <x:v>短帘</x:v>
      </x:c>
      <x:c r="E56" s="74" t="str">
        <x:v>模型</x:v>
      </x:c>
      <x:c r="F56" s="72" t="str">
        <x:v>模型/ENV-End-绿洲新城/场景装饰/资产说明/DE-11-2_短帘/</x:v>
      </x:c>
      <x:c r="G56" s="72" t="str">
        <x:v>设计说明、1 个 FBX 与 4 张设计或 PBR 贴图已交付；DE-01～DE-12 对应资源已配置 Unity 材质和 Prefab。</x:v>
      </x:c>
      <x:c r="H56" s="74" t="str">
        <x:v>已完成-符合</x:v>
      </x:c>
    </x:row>
    <x:row r="57" ht="38" customHeight="1">
      <x:c r="A57" s="74" t="n">
        <x:v>52</x:v>
      </x:c>
      <x:c r="B57" s="74" t="str">
        <x:v>ENV-END-DE-12</x:v>
      </x:c>
      <x:c r="C57" s="72" t="str">
        <x:v>ENV-End 绿洲新城·场景装饰</x:v>
      </x:c>
      <x:c r="D57" s="72" t="str">
        <x:v>风帆旗</x:v>
      </x:c>
      <x:c r="E57" s="74" t="str">
        <x:v>模型</x:v>
      </x:c>
      <x:c r="F57" s="72" t="str">
        <x:v>模型/ENV-End-绿洲新城/场景装饰/资产说明/DE-12_风帆旗/</x:v>
      </x:c>
      <x:c r="G57" s="72" t="str">
        <x:v>设计说明、1 个 FBX 与 4 张设计或 PBR 贴图已交付；DE-01～DE-12 对应资源已配置 Unity 材质和 Prefab。</x:v>
      </x:c>
      <x:c r="H57" s="74" t="str">
        <x:v>已完成-符合</x:v>
      </x:c>
    </x:row>
    <x:row r="58" ht="38" customHeight="1">
      <x:c r="A58" s="74" t="n">
        <x:v>53</x:v>
      </x:c>
      <x:c r="B58" s="74" t="str">
        <x:v>ENV-END-DE-13</x:v>
      </x:c>
      <x:c r="C58" s="72" t="str">
        <x:v>ENV-End 绿洲新城·场景装饰</x:v>
      </x:c>
      <x:c r="D58" s="72" t="str">
        <x:v>低亮导向灯</x:v>
      </x:c>
      <x:c r="E58" s="74" t="str">
        <x:v>模型</x:v>
      </x:c>
      <x:c r="F58" s="72" t="str">
        <x:v>模型/ENV-End-绿洲新城/场景装饰/资产说明/DE-13_低亮导向灯/</x:v>
      </x:c>
      <x:c r="G58" s="72" t="str">
        <x:v>设计与摆放规格已完成；尚无正式 FBX、PBR 贴图或 Unity Prefab，当前场景中的同类对象不得视为正式资源。</x:v>
      </x:c>
      <x:c r="H58" s="74" t="str">
        <x:v>设计完成-待制作</x:v>
      </x:c>
    </x:row>
    <x:row r="59" ht="38" customHeight="1">
      <x:c r="A59" s="74" t="n">
        <x:v>54</x:v>
      </x:c>
      <x:c r="B59" s="74" t="str">
        <x:v>ENV-END-DE-14</x:v>
      </x:c>
      <x:c r="C59" s="72" t="str">
        <x:v>ENV-End 绿洲新城·场景装饰</x:v>
      </x:c>
      <x:c r="D59" s="72" t="str">
        <x:v>青绿能源柱</x:v>
      </x:c>
      <x:c r="E59" s="74" t="str">
        <x:v>模型</x:v>
      </x:c>
      <x:c r="F59" s="72" t="str">
        <x:v>模型/ENV-End-绿洲新城/场景装饰/资产说明/DE-14_青绿能源柱/</x:v>
      </x:c>
      <x:c r="G59" s="72" t="str">
        <x:v>设计与摆放规格已完成；尚无正式 FBX、PBR 贴图或 Unity Prefab，当前场景中的同类对象不得视为正式资源。</x:v>
      </x:c>
      <x:c r="H59" s="74" t="str">
        <x:v>设计完成-待制作</x:v>
      </x:c>
    </x:row>
    <x:row r="60" ht="38" customHeight="1">
      <x:c r="A60" s="74" t="n">
        <x:v>55</x:v>
      </x:c>
      <x:c r="B60" s="74" t="str">
        <x:v>ENV-END-DE-15</x:v>
      </x:c>
      <x:c r="C60" s="72" t="str">
        <x:v>ENV-End 绿洲新城·场景装饰</x:v>
      </x:c>
      <x:c r="D60" s="72" t="str">
        <x:v>金属导管</x:v>
      </x:c>
      <x:c r="E60" s="74" t="str">
        <x:v>模型</x:v>
      </x:c>
      <x:c r="F60" s="72" t="str">
        <x:v>模型/ENV-End-绿洲新城/场景装饰/资产说明/DE-15_金属导管/</x:v>
      </x:c>
      <x:c r="G60" s="72" t="str">
        <x:v>设计与摆放规格已完成；尚无正式 FBX、PBR 贴图或 Unity Prefab，当前场景中的同类对象不得视为正式资源。</x:v>
      </x:c>
      <x:c r="H60" s="74" t="str">
        <x:v>设计完成-待制作</x:v>
      </x:c>
    </x:row>
    <x:row r="61" ht="38" customHeight="1">
      <x:c r="A61" s="74" t="n">
        <x:v>56</x:v>
      </x:c>
      <x:c r="B61" s="74" t="str">
        <x:v>ENV-END-DE-16</x:v>
      </x:c>
      <x:c r="C61" s="72" t="str">
        <x:v>ENV-End 绿洲新城·场景装饰</x:v>
      </x:c>
      <x:c r="D61" s="72" t="str">
        <x:v>线缆托架</x:v>
      </x:c>
      <x:c r="E61" s="74" t="str">
        <x:v>模型</x:v>
      </x:c>
      <x:c r="F61" s="72" t="str">
        <x:v>模型/ENV-End-绿洲新城/场景装饰/资产说明/DE-16_线缆托架/</x:v>
      </x:c>
      <x:c r="G61" s="72" t="str">
        <x:v>设计与摆放规格已完成；尚无正式 FBX、PBR 贴图或 Unity Prefab，当前场景中的同类对象不得视为正式资源。</x:v>
      </x:c>
      <x:c r="H61" s="74" t="str">
        <x:v>设计完成-待制作</x:v>
      </x:c>
    </x:row>
    <x:row r="62" ht="38" customHeight="1">
      <x:c r="A62" s="74" t="n">
        <x:v>57</x:v>
      </x:c>
      <x:c r="B62" s="74" t="str">
        <x:v>ENV-END-DE-17-1</x:v>
      </x:c>
      <x:c r="C62" s="72" t="str">
        <x:v>ENV-End 绿洲新城·场景装饰</x:v>
      </x:c>
      <x:c r="D62" s="72" t="str">
        <x:v>风向仪</x:v>
      </x:c>
      <x:c r="E62" s="74" t="str">
        <x:v>模型</x:v>
      </x:c>
      <x:c r="F62" s="72" t="str">
        <x:v>模型/ENV-End-绿洲新城/场景装饰/资产说明/DE-17-1_风向仪/</x:v>
      </x:c>
      <x:c r="G62" s="72" t="str">
        <x:v>设计与摆放规格已完成；尚无正式 FBX、PBR 贴图或 Unity Prefab，当前场景中的同类对象不得视为正式资源。</x:v>
      </x:c>
      <x:c r="H62" s="74" t="str">
        <x:v>设计完成-待制作</x:v>
      </x:c>
    </x:row>
    <x:row r="63" ht="38" customHeight="1">
      <x:c r="A63" s="74" t="n">
        <x:v>58</x:v>
      </x:c>
      <x:c r="B63" s="74" t="str">
        <x:v>ENV-END-DE-17-2</x:v>
      </x:c>
      <x:c r="C63" s="72" t="str">
        <x:v>ENV-End 绿洲新城·场景装饰</x:v>
      </x:c>
      <x:c r="D63" s="72" t="str">
        <x:v>小风轮</x:v>
      </x:c>
      <x:c r="E63" s="74" t="str">
        <x:v>模型</x:v>
      </x:c>
      <x:c r="F63" s="72" t="str">
        <x:v>模型/ENV-End-绿洲新城/场景装饰/资产说明/DE-17-2_小风轮/</x:v>
      </x:c>
      <x:c r="G63" s="72" t="str">
        <x:v>设计与摆放规格已完成；尚无正式 FBX、PBR 贴图或 Unity Prefab，当前场景中的同类对象不得视为正式资源。</x:v>
      </x:c>
      <x:c r="H63" s="74" t="str">
        <x:v>设计完成-待制作</x:v>
      </x:c>
    </x:row>
    <x:row r="64" ht="38" customHeight="1">
      <x:c r="A64" s="74" t="n">
        <x:v>59</x:v>
      </x:c>
      <x:c r="B64" s="74" t="str">
        <x:v>ENV-END-DE-18</x:v>
      </x:c>
      <x:c r="C64" s="72" t="str">
        <x:v>ENV-End 绿洲新城·场景装饰</x:v>
      </x:c>
      <x:c r="D64" s="72" t="str">
        <x:v>墙面纹样马赛克</x:v>
      </x:c>
      <x:c r="E64" s="74" t="str">
        <x:v>模型</x:v>
      </x:c>
      <x:c r="F64" s="72" t="str">
        <x:v>模型/ENV-End-绿洲新城/场景装饰/资产说明/DE-18_墙面纹样马赛克/</x:v>
      </x:c>
      <x:c r="G64" s="72" t="str">
        <x:v>设计与摆放规格已完成；尚无正式 FBX、PBR 贴图或 Unity Prefab，当前场景中的同类对象不得视为正式资源。</x:v>
      </x:c>
      <x:c r="H64" s="74" t="str">
        <x:v>设计完成-待制作</x:v>
      </x:c>
    </x:row>
    <x:row r="65" ht="38" customHeight="1">
      <x:c r="A65" s="74" t="n">
        <x:v>60</x:v>
      </x:c>
      <x:c r="B65" s="74" t="str">
        <x:v>ENV-END-DE-19-1</x:v>
      </x:c>
      <x:c r="C65" s="72" t="str">
        <x:v>ENV-End 绿洲新城·场景装饰</x:v>
      </x:c>
      <x:c r="D65" s="72" t="str">
        <x:v>门牌</x:v>
      </x:c>
      <x:c r="E65" s="74" t="str">
        <x:v>模型</x:v>
      </x:c>
      <x:c r="F65" s="72" t="str">
        <x:v>模型/ENV-End-绿洲新城/场景装饰/资产说明/DE-19-1_门牌/</x:v>
      </x:c>
      <x:c r="G65" s="72" t="str">
        <x:v>设计与摆放规格已完成；尚无正式 FBX、PBR 贴图或 Unity Prefab，当前场景中的同类对象不得视为正式资源。</x:v>
      </x:c>
      <x:c r="H65" s="74" t="str">
        <x:v>设计完成-待制作</x:v>
      </x:c>
    </x:row>
    <x:row r="66" ht="38" customHeight="1">
      <x:c r="A66" s="74" t="n">
        <x:v>61</x:v>
      </x:c>
      <x:c r="B66" s="74" t="str">
        <x:v>ENV-END-DE-19-2</x:v>
      </x:c>
      <x:c r="C66" s="72" t="str">
        <x:v>ENV-End 绿洲新城·场景装饰</x:v>
      </x:c>
      <x:c r="D66" s="72" t="str">
        <x:v>店招</x:v>
      </x:c>
      <x:c r="E66" s="74" t="str">
        <x:v>模型</x:v>
      </x:c>
      <x:c r="F66" s="72" t="str">
        <x:v>模型/ENV-End-绿洲新城/场景装饰/资产说明/DE-19-2_店招/</x:v>
      </x:c>
      <x:c r="G66" s="72" t="str">
        <x:v>设计与摆放规格已完成；尚无正式 FBX、PBR 贴图或 Unity Prefab，当前场景中的同类对象不得视为正式资源。</x:v>
      </x:c>
      <x:c r="H66" s="74" t="str">
        <x:v>设计完成-待制作</x:v>
      </x:c>
    </x:row>
    <x:row r="67" ht="38" customHeight="1">
      <x:c r="A67" s="74" t="n">
        <x:v>62</x:v>
      </x:c>
      <x:c r="B67" s="74" t="str">
        <x:v>ENV-END-DE-20</x:v>
      </x:c>
      <x:c r="C67" s="72" t="str">
        <x:v>ENV-End 绿洲新城·场景装饰</x:v>
      </x:c>
      <x:c r="D67" s="72" t="str">
        <x:v>陶罐与储水罐</x:v>
      </x:c>
      <x:c r="E67" s="74" t="str">
        <x:v>模型</x:v>
      </x:c>
      <x:c r="F67" s="72" t="str">
        <x:v>模型/ENV-End-绿洲新城/场景装饰/资产说明/DE-20_陶罐与储水罐/</x:v>
      </x:c>
      <x:c r="G67" s="72" t="str">
        <x:v>设计与摆放规格已完成；尚无正式 FBX、PBR 贴图或 Unity Prefab，当前场景中的同类对象不得视为正式资源。</x:v>
      </x:c>
      <x:c r="H67" s="74" t="str">
        <x:v>设计完成-待制作</x:v>
      </x:c>
    </x:row>
    <x:row r="68" ht="38" customHeight="1">
      <x:c r="A68" s="166" t="n">
        <x:v>63</x:v>
      </x:c>
      <x:c r="B68" s="166" t="str">
        <x:v>ENV-END-DE-21-1</x:v>
      </x:c>
      <x:c r="C68" s="167" t="str">
        <x:v>ENV-End 绿洲新城·场景装饰</x:v>
      </x:c>
      <x:c r="D68" s="167" t="str">
        <x:v>颜料封存罐</x:v>
      </x:c>
      <x:c r="E68" s="168" t="str">
        <x:v>模型</x:v>
      </x:c>
      <x:c r="F68" s="167" t="str">
        <x:v>模型/ENV-End-绿洲新城/场景装饰/资产说明/DE-21-1_颜料封存罐/</x:v>
      </x:c>
      <x:c r="G68" s="167" t="str">
        <x:v>设计与摆放规格已完成；尚无正式 FBX、PBR 贴图或 Unity Prefab，当前场景中的同类对象不得视为正式资源。</x:v>
      </x:c>
      <x:c r="H68" s="166" t="str">
        <x:v>设计完成-待制作</x:v>
      </x:c>
    </x:row>
    <x:row r="69" ht="38" customHeight="1">
      <x:c r="A69" s="166" t="n">
        <x:v>64</x:v>
      </x:c>
      <x:c r="B69" s="166" t="str">
        <x:v>ENV-END-DE-21-2</x:v>
      </x:c>
      <x:c r="C69" s="167" t="str">
        <x:v>ENV-End 绿洲新城·场景装饰</x:v>
      </x:c>
      <x:c r="D69" s="167" t="str">
        <x:v>小罐架</x:v>
      </x:c>
      <x:c r="E69" s="168" t="str">
        <x:v>模型</x:v>
      </x:c>
      <x:c r="F69" s="167" t="str">
        <x:v>模型/ENV-End-绿洲新城/场景装饰/资产说明/DE-21-2_小罐架/</x:v>
      </x:c>
      <x:c r="G69" s="167" t="str">
        <x:v>设计与摆放规格已完成；尚无正式 FBX、PBR 贴图或 Unity Prefab，当前场景中的同类对象不得视为正式资源。</x:v>
      </x:c>
      <x:c r="H69" s="166" t="str">
        <x:v>设计完成-待制作</x:v>
      </x:c>
    </x:row>
    <x:row r="70" ht="38" customHeight="1">
      <x:c r="A70" s="166" t="n">
        <x:v>65</x:v>
      </x:c>
      <x:c r="B70" s="166" t="str">
        <x:v>ENV-END-DE-22-1</x:v>
      </x:c>
      <x:c r="C70" s="167" t="str">
        <x:v>ENV-End 绿洲新城·场景装饰</x:v>
      </x:c>
      <x:c r="D70" s="167" t="str">
        <x:v>木箱</x:v>
      </x:c>
      <x:c r="E70" s="168" t="str">
        <x:v>模型</x:v>
      </x:c>
      <x:c r="F70" s="167" t="str">
        <x:v>模型/ENV-End-绿洲新城/场景装饰/资产说明/DE-22-1_木箱/</x:v>
      </x:c>
      <x:c r="G70" s="167" t="str">
        <x:v>设计与摆放规格已完成；尚无正式 FBX、PBR 贴图或 Unity Prefab，当前场景中的同类对象不得视为正式资源。</x:v>
      </x:c>
      <x:c r="H70" s="166" t="str">
        <x:v>设计完成-待制作</x:v>
      </x:c>
    </x:row>
    <x:row r="71" ht="38" customHeight="1">
      <x:c r="A71" s="166" t="n">
        <x:v>66</x:v>
      </x:c>
      <x:c r="B71" s="166" t="str">
        <x:v>ENV-END-DE-22-2</x:v>
      </x:c>
      <x:c r="C71" s="167" t="str">
        <x:v>ENV-End 绿洲新城·场景装饰</x:v>
      </x:c>
      <x:c r="D71" s="167" t="str">
        <x:v>货物捆</x:v>
      </x:c>
      <x:c r="E71" s="168" t="str">
        <x:v>模型</x:v>
      </x:c>
      <x:c r="F71" s="167" t="str">
        <x:v>模型/ENV-End-绿洲新城/场景装饰/资产说明/DE-22-2_货物捆/</x:v>
      </x:c>
      <x:c r="G71" s="167" t="str">
        <x:v>设计与摆放规格已完成；尚无正式 FBX、PBR 贴图或 Unity Prefab，当前场景中的同类对象不得视为正式资源。</x:v>
      </x:c>
      <x:c r="H71" s="166" t="str">
        <x:v>设计完成-待制作</x:v>
      </x:c>
    </x:row>
    <x:row r="72" ht="38" customHeight="1">
      <x:c r="A72" s="166" t="n">
        <x:v>67</x:v>
      </x:c>
      <x:c r="B72" s="166" t="str">
        <x:v>ENV-END-DE-23</x:v>
      </x:c>
      <x:c r="C72" s="167" t="str">
        <x:v>ENV-End 绿洲新城·场景装饰</x:v>
      </x:c>
      <x:c r="D72" s="167" t="str">
        <x:v>低矮长凳</x:v>
      </x:c>
      <x:c r="E72" s="168" t="str">
        <x:v>模型</x:v>
      </x:c>
      <x:c r="F72" s="167" t="str">
        <x:v>模型/ENV-End-绿洲新城/场景装饰/资产说明/DE-23_低矮长凳/</x:v>
      </x:c>
      <x:c r="G72" s="167" t="str">
        <x:v>设计与摆放规格已完成；尚无正式 FBX、PBR 贴图或 Unity Prefab，当前场景中的同类对象不得视为正式资源。</x:v>
      </x:c>
      <x:c r="H72" s="166" t="str">
        <x:v>设计完成-待制作</x:v>
      </x:c>
    </x:row>
    <x:row r="73" ht="38" customHeight="1">
      <x:c r="A73" s="166" t="n">
        <x:v>68</x:v>
      </x:c>
      <x:c r="B73" s="166" t="str">
        <x:v>ENV-END-DE-24-1</x:v>
      </x:c>
      <x:c r="C73" s="167" t="str">
        <x:v>ENV-End 绿洲新城·场景装饰</x:v>
      </x:c>
      <x:c r="D73" s="167" t="str">
        <x:v>地毯</x:v>
      </x:c>
      <x:c r="E73" s="168" t="str">
        <x:v>模型</x:v>
      </x:c>
      <x:c r="F73" s="167" t="str">
        <x:v>模型/ENV-End-绿洲新城/场景装饰/资产说明/DE-24-1_地毯/</x:v>
      </x:c>
      <x:c r="G73" s="167" t="str">
        <x:v>设计与摆放规格已完成；尚无正式 FBX、PBR 贴图或 Unity Prefab，当前场景中的同类对象不得视为正式资源。</x:v>
      </x:c>
      <x:c r="H73" s="166" t="str">
        <x:v>设计完成-待制作</x:v>
      </x:c>
    </x:row>
    <x:row r="74" ht="38" customHeight="1">
      <x:c r="A74" s="166" t="n">
        <x:v>69</x:v>
      </x:c>
      <x:c r="B74" s="166" t="str">
        <x:v>ENV-END-DE-24-2</x:v>
      </x:c>
      <x:c r="C74" s="167" t="str">
        <x:v>ENV-End 绿洲新城·场景装饰</x:v>
      </x:c>
      <x:c r="D74" s="167" t="str">
        <x:v>坐垫</x:v>
      </x:c>
      <x:c r="E74" s="168" t="str">
        <x:v>模型</x:v>
      </x:c>
      <x:c r="F74" s="167" t="str">
        <x:v>模型/ENV-End-绿洲新城/场景装饰/资产说明/DE-24-2_坐垫/</x:v>
      </x:c>
      <x:c r="G74" s="167" t="str">
        <x:v>设计与摆放规格已完成；尚无正式 FBX、PBR 贴图或 Unity Prefab，当前场景中的同类对象不得视为正式资源。</x:v>
      </x:c>
      <x:c r="H74" s="166" t="str">
        <x:v>设计完成-待制作</x:v>
      </x:c>
    </x:row>
    <x:row r="75" ht="38" customHeight="1">
      <x:c r="A75" s="166" t="n">
        <x:v>70</x:v>
      </x:c>
      <x:c r="B75" s="166" t="str">
        <x:v>ENV-END-DE-25</x:v>
      </x:c>
      <x:c r="C75" s="167" t="str">
        <x:v>ENV-End 绿洲新城·场景装饰</x:v>
      </x:c>
      <x:c r="D75" s="167" t="str">
        <x:v>小型货摊模块</x:v>
      </x:c>
      <x:c r="E75" s="168" t="str">
        <x:v>模型</x:v>
      </x:c>
      <x:c r="F75" s="167" t="str">
        <x:v>模型/ENV-End-绿洲新城/场景装饰/资产说明/DE-25_小型货摊模块/</x:v>
      </x:c>
      <x:c r="G75" s="167" t="str">
        <x:v>设计与摆放规格已完成；尚无正式 FBX、PBR 贴图或 Unity Prefab，当前场景中的同类对象不得视为正式资源。</x:v>
      </x:c>
      <x:c r="H75" s="166" t="str">
        <x:v>设计完成-待制作</x:v>
      </x:c>
    </x:row>
    <x:row r="76">
      <x:c r="A76" s="166" t="n">
        <x:v>71</x:v>
      </x:c>
      <x:c r="B76" s="166" t="str">
        <x:v>ENV-END-DE-26-1</x:v>
      </x:c>
      <x:c r="C76" s="167" t="str">
        <x:v>ENV-End 绿洲新城·场景装饰</x:v>
      </x:c>
      <x:c r="D76" s="167" t="str">
        <x:v>半透格栅</x:v>
      </x:c>
      <x:c r="E76" s="168" t="str">
        <x:v>模型</x:v>
      </x:c>
      <x:c r="F76" s="167" t="str">
        <x:v>模型/ENV-End-绿洲新城/场景装饰/资产说明/DE-26-1_半透格栅/</x:v>
      </x:c>
      <x:c r="G76" s="167" t="str">
        <x:v>设计与摆放规格已完成；尚无正式 FBX、PBR 贴图或 Unity Prefab，当前场景中的同类对象不得视为正式资源。</x:v>
      </x:c>
      <x:c r="H76" s="166" t="str">
        <x:v>设计完成-待制作</x:v>
      </x:c>
    </x:row>
    <x:row r="77">
      <x:c r="A77" s="166" t="n">
        <x:v>72</x:v>
      </x:c>
      <x:c r="B77" s="166" t="str">
        <x:v>ENV-END-DE-26-2</x:v>
      </x:c>
      <x:c r="C77" s="167" t="str">
        <x:v>ENV-End 绿洲新城·场景装饰</x:v>
      </x:c>
      <x:c r="D77" s="167" t="str">
        <x:v>屏风</x:v>
      </x:c>
      <x:c r="E77" s="168" t="str">
        <x:v>模型</x:v>
      </x:c>
      <x:c r="F77" s="167" t="str">
        <x:v>模型/ENV-End-绿洲新城/场景装饰/资产说明/DE-26-2_屏风/</x:v>
      </x:c>
      <x:c r="G77" s="167" t="str">
        <x:v>设计与摆放规格已完成；尚无正式 FBX、PBR 贴图或 Unity Prefab，当前场景中的同类对象不得视为正式资源。</x:v>
      </x:c>
      <x:c r="H77" s="166" t="str">
        <x:v>设计完成-待制作</x:v>
      </x:c>
    </x:row>
    <x:row r="78">
      <x:c r="A78" s="166" t="n">
        <x:v>73</x:v>
      </x:c>
      <x:c r="B78" s="166" t="str">
        <x:v>ENV-END-DE-27</x:v>
      </x:c>
      <x:c r="C78" s="167" t="str">
        <x:v>ENV-End 绿洲新城·场景装饰</x:v>
      </x:c>
      <x:c r="D78" s="167" t="str">
        <x:v>拱廊栏杆</x:v>
      </x:c>
      <x:c r="E78" s="168" t="str">
        <x:v>模型</x:v>
      </x:c>
      <x:c r="F78" s="167" t="str">
        <x:v>模型/ENV-End-绿洲新城/场景装饰/资产说明/DE-27_拱廊栏杆/</x:v>
      </x:c>
      <x:c r="G78" s="167" t="str">
        <x:v>设计与摆放规格已完成；尚无正式 FBX、PBR 贴图或 Unity Prefab，当前场景中的同类对象不得视为正式资源。</x:v>
      </x:c>
      <x:c r="H78" s="166" t="str">
        <x:v>设计完成-待制作</x:v>
      </x:c>
    </x:row>
    <x:row r="79">
      <x:c r="A79" s="166" t="n">
        <x:v>74</x:v>
      </x:c>
      <x:c r="B79" s="166" t="str">
        <x:v>ENV-END-DE-28-1</x:v>
      </x:c>
      <x:c r="C79" s="167" t="str">
        <x:v>ENV-End 绿洲新城·场景装饰</x:v>
      </x:c>
      <x:c r="D79" s="167" t="str">
        <x:v>小桥</x:v>
      </x:c>
      <x:c r="E79" s="168" t="str">
        <x:v>模型</x:v>
      </x:c>
      <x:c r="F79" s="167" t="str">
        <x:v>模型/ENV-End-绿洲新城/场景装饰/资产说明/DE-28-1_小桥/</x:v>
      </x:c>
      <x:c r="G79" s="167" t="str">
        <x:v>设计与摆放规格已完成；尚无正式 FBX、PBR 贴图或 Unity Prefab，当前场景中的同类对象不得视为正式资源。</x:v>
      </x:c>
      <x:c r="H79" s="166" t="str">
        <x:v>设计完成-待制作</x:v>
      </x:c>
    </x:row>
    <x:row r="80">
      <x:c r="A80" s="166" t="n">
        <x:v>75</x:v>
      </x:c>
      <x:c r="B80" s="166" t="str">
        <x:v>ENV-END-DE-28-2</x:v>
      </x:c>
      <x:c r="C80" s="167" t="str">
        <x:v>ENV-End 绿洲新城·场景装饰</x:v>
      </x:c>
      <x:c r="D80" s="167" t="str">
        <x:v>跨槽板</x:v>
      </x:c>
      <x:c r="E80" s="168" t="str">
        <x:v>模型</x:v>
      </x:c>
      <x:c r="F80" s="167" t="str">
        <x:v>模型/ENV-End-绿洲新城/场景装饰/资产说明/DE-28-2_跨槽板/</x:v>
      </x:c>
      <x:c r="G80" s="167" t="str">
        <x:v>设计与摆放规格已完成；尚无正式 FBX、PBR 贴图或 Unity Prefab，当前场景中的同类对象不得视为正式资源。</x:v>
      </x:c>
      <x:c r="H80" s="166" t="str">
        <x:v>设计完成-待制作</x:v>
      </x:c>
    </x:row>
    <x:row r="81">
      <x:c r="A81" s="166" t="n">
        <x:v>76</x:v>
      </x:c>
      <x:c r="B81" s="166" t="str">
        <x:v>ENV-END-DE-29-1</x:v>
      </x:c>
      <x:c r="C81" s="167" t="str">
        <x:v>ENV-End 绿洲新城·场景装饰</x:v>
      </x:c>
      <x:c r="D81" s="167" t="str">
        <x:v>墙脚护角</x:v>
      </x:c>
      <x:c r="E81" s="168" t="str">
        <x:v>模型</x:v>
      </x:c>
      <x:c r="F81" s="167" t="str">
        <x:v>模型/ENV-End-绿洲新城/场景装饰/资产说明/DE-29-1_墙脚护角/</x:v>
      </x:c>
      <x:c r="G81" s="167" t="str">
        <x:v>设计与摆放规格已完成；尚无正式 FBX、PBR 贴图或 Unity Prefab，当前场景中的同类对象不得视为正式资源。</x:v>
      </x:c>
      <x:c r="H81" s="166" t="str">
        <x:v>设计完成-待制作</x:v>
      </x:c>
    </x:row>
    <x:row r="82">
      <x:c r="A82" s="166" t="n">
        <x:v>77</x:v>
      </x:c>
      <x:c r="B82" s="166" t="str">
        <x:v>ENV-END-DE-29-2</x:v>
      </x:c>
      <x:c r="C82" s="167" t="str">
        <x:v>ENV-End 绿洲新城·场景装饰</x:v>
      </x:c>
      <x:c r="D82" s="167" t="str">
        <x:v>金属包边</x:v>
      </x:c>
      <x:c r="E82" s="168" t="str">
        <x:v>模型</x:v>
      </x:c>
      <x:c r="F82" s="167" t="str">
        <x:v>模型/ENV-End-绿洲新城/场景装饰/资产说明/DE-29-2_金属包边/</x:v>
      </x:c>
      <x:c r="G82" s="167" t="str">
        <x:v>设计与摆放规格已完成；尚无正式 FBX、PBR 贴图或 Unity Prefab，当前场景中的同类对象不得视为正式资源。</x:v>
      </x:c>
      <x:c r="H82" s="166" t="str">
        <x:v>设计完成-待制作</x:v>
      </x:c>
    </x:row>
    <x:row r="83">
      <x:c r="A83" s="166" t="n">
        <x:v>78</x:v>
      </x:c>
      <x:c r="B83" s="166" t="str">
        <x:v>ENV-END-DE-30</x:v>
      </x:c>
      <x:c r="C83" s="167" t="str">
        <x:v>ENV-End 绿洲新城·场景装饰</x:v>
      </x:c>
      <x:c r="D83" s="167" t="str">
        <x:v>屋顶通风帽</x:v>
      </x:c>
      <x:c r="E83" s="168" t="str">
        <x:v>模型</x:v>
      </x:c>
      <x:c r="F83" s="167" t="str">
        <x:v>模型/ENV-End-绿洲新城/场景装饰/资产说明/DE-30_屋顶通风帽/</x:v>
      </x:c>
      <x:c r="G83" s="167" t="str">
        <x:v>设计与摆放规格已完成；尚无正式 FBX、PBR 贴图或 Unity Prefab，当前场景中的同类对象不得视为正式资源。</x:v>
      </x:c>
      <x:c r="H83" s="166" t="str">
        <x:v>设计完成-待制作</x:v>
      </x:c>
    </x:row>
    <x:row r="84">
      <x:c r="A84" s="166" t="n">
        <x:v>79</x:v>
      </x:c>
      <x:c r="B84" s="166" t="str">
        <x:v>ENV-END-DE-31-1</x:v>
      </x:c>
      <x:c r="C84" s="167" t="str">
        <x:v>ENV-End 绿洲新城·场景装饰</x:v>
      </x:c>
      <x:c r="D84" s="167" t="str">
        <x:v>砂石堆</x:v>
      </x:c>
      <x:c r="E84" s="168" t="str">
        <x:v>模型</x:v>
      </x:c>
      <x:c r="F84" s="167" t="str">
        <x:v>模型/ENV-End-绿洲新城/场景装饰/资产说明/DE-31-1_砂石堆/</x:v>
      </x:c>
      <x:c r="G84" s="167" t="str">
        <x:v>设计与摆放规格已完成；尚无正式 FBX、PBR 贴图或 Unity Prefab，当前场景中的同类对象不得视为正式资源。</x:v>
      </x:c>
      <x:c r="H84" s="166" t="str">
        <x:v>设计完成-待制作</x:v>
      </x:c>
    </x:row>
    <x:row r="85">
      <x:c r="A85" s="166" t="n">
        <x:v>80</x:v>
      </x:c>
      <x:c r="B85" s="166" t="str">
        <x:v>ENV-END-DE-31-2</x:v>
      </x:c>
      <x:c r="C85" s="167" t="str">
        <x:v>ENV-End 绿洲新城·场景装饰</x:v>
      </x:c>
      <x:c r="D85" s="167" t="str">
        <x:v>风蚀碎片</x:v>
      </x:c>
      <x:c r="E85" s="168" t="str">
        <x:v>模型</x:v>
      </x:c>
      <x:c r="F85" s="167" t="str">
        <x:v>模型/ENV-End-绿洲新城/场景装饰/资产说明/DE-31-2_风蚀碎片/</x:v>
      </x:c>
      <x:c r="G85" s="167" t="str">
        <x:v>设计与摆放规格已完成；尚无正式 FBX、PBR 贴图或 Unity Prefab，当前场景中的同类对象不得视为正式资源。</x:v>
      </x:c>
      <x:c r="H85" s="166" t="str">
        <x:v>设计完成-待制作</x:v>
      </x:c>
    </x:row>
    <x:row r="86">
      <x:c r="A86" s="166" t="n">
        <x:v>81</x:v>
      </x:c>
      <x:c r="B86" s="166" t="str">
        <x:v>ENV-END-DE-32</x:v>
      </x:c>
      <x:c r="C86" s="167" t="str">
        <x:v>ENV-End 绿洲新城·场景装饰</x:v>
      </x:c>
      <x:c r="D86" s="167" t="str">
        <x:v>互动提示基座</x:v>
      </x:c>
      <x:c r="E86" s="168" t="str">
        <x:v>模型</x:v>
      </x:c>
      <x:c r="F86" s="167" t="str">
        <x:v>模型/ENV-End-绿洲新城/场景装饰/资产说明/DE-32_互动提示基座/</x:v>
      </x:c>
      <x:c r="G86" s="167" t="str">
        <x:v>设计与摆放规格已完成；尚无正式 FBX、PBR 贴图或 Unity Prefab，当前场景中的同类对象不得视为正式资源。</x:v>
      </x:c>
      <x:c r="H86" s="166" t="str">
        <x:v>设计完成-待制作</x:v>
      </x:c>
    </x:row>
    <x:row r="87">
      <x:c r="A87" s="166" t="n">
        <x:v>82</x:v>
      </x:c>
      <x:c r="B87" s="166" t="str">
        <x:v>INT-PROP-001</x:v>
      </x:c>
      <x:c r="C87" s="167" t="str">
        <x:v>互动道具·物资容器</x:v>
      </x:c>
      <x:c r="D87" s="167" t="str">
        <x:v>小型补给箱</x:v>
      </x:c>
      <x:c r="E87" s="168" t="str">
        <x:v>交互道具</x:v>
      </x:c>
      <x:c r="F87" s="167" t="str">
        <x:v>模型/INT-PROP_可交互道具/INT-PROP-001_小型补给箱/</x:v>
      </x:c>
      <x:c r="G87" s="167" t="str">
        <x:v>小体量基础补给容器，用于少量常规物资；当前仅设计关闭、完整、未交互的默认静态状态；默认状态详细设计已通过用户确认，单项说明见 模型/INT-PROP_可交互道具/INT-PROP-001_小型补给箱/INT-PROP-001_小型补给箱.md；默认状态轴测图已生成，见 模型/INT-PROP_可交互道具/INT-PROP-001_小型补给箱/建模多视图/INT-PROP-001_Axon.png；等待用户确认是否需要其他多视图。</x:v>
      </x:c>
      <x:c r="H87" s="166" t="str">
        <x:v>轴测图待确认</x:v>
      </x:c>
    </x:row>
    <x:row r="88">
      <x:c r="A88" s="166" t="n">
        <x:v>83</x:v>
      </x:c>
      <x:c r="B88" s="166" t="str">
        <x:v>INT-PROP-002</x:v>
      </x:c>
      <x:c r="C88" s="167" t="str">
        <x:v>互动道具·物资容器</x:v>
      </x:c>
      <x:c r="D88" s="167" t="str">
        <x:v>标准物资箱</x:v>
      </x:c>
      <x:c r="E88" s="168" t="str">
        <x:v>交互道具</x:v>
      </x:c>
      <x:c r="F88" s="167" t="str">
        <x:v>模型/INT-PROP_可交互道具/INT-PROP-002_标准物资箱/</x:v>
      </x:c>
      <x:c r="G88" s="167" t="str">
        <x:v>主力物资容器，承载常规搜刮内容；当前仅设计关闭、完整、未交互的默认静态状态；默认状态详细设计已通过用户确认，单项说明见 模型/INT-PROP_可交互道具/INT-PROP-002_标准物资箱/INT-PROP-002_标准物资箱.md；默认状态轴测图已生成，见 模型/INT-PROP_可交互道具/INT-PROP-002_标准物资箱/建模多视图/INT-PROP-002_Axon.png；等待用户确认是否需要其他多视图。</x:v>
      </x:c>
      <x:c r="H88" s="166" t="str">
        <x:v>轴测图待确认</x:v>
      </x:c>
    </x:row>
    <x:row r="89">
      <x:c r="A89" s="166" t="n">
        <x:v>84</x:v>
      </x:c>
      <x:c r="B89" s="166" t="str">
        <x:v>INT-PROP-003</x:v>
      </x:c>
      <x:c r="C89" s="167" t="str">
        <x:v>互动道具·物资容器</x:v>
      </x:c>
      <x:c r="D89" s="167" t="str">
        <x:v>高价值加固箱</x:v>
      </x:c>
      <x:c r="E89" s="168" t="str">
        <x:v>交互道具</x:v>
      </x:c>
      <x:c r="F89" s="167" t="str">
        <x:v>模型/INT-PROP_可交互道具/INT-PROP-003_高价值加固箱/</x:v>
      </x:c>
      <x:c r="G89" s="167" t="str">
        <x:v>高价值或高风险区域使用的加固物资箱，需要通过轮廓与结构体现更高价值；当前仅设计关闭、完整、未交互的默认静态状态；默认状态详细设计已通过用户确认，单项说明见 模型/INT-PROP_可交互道具/INT-PROP-003_高价值加固箱/INT-PROP-003_高价值加固箱.md；默认状态轴测图已生成，见 模型/INT-PROP_可交互道具/INT-PROP-003_高价值加固箱/建模多视图/INT-PROP-003_Axon.png；等待用户确认是否需要其他多视图。</x:v>
      </x:c>
      <x:c r="H89" s="166" t="str">
        <x:v>轴测图待确认</x:v>
      </x:c>
    </x:row>
    <x:row r="90">
      <x:c r="A90" s="166" t="n">
        <x:v>85</x:v>
      </x:c>
      <x:c r="B90" s="166" t="str">
        <x:v>INT-PROP-004</x:v>
      </x:c>
      <x:c r="C90" s="167" t="str">
        <x:v>互动道具·颜料容器</x:v>
      </x:c>
      <x:c r="D90" s="167" t="str">
        <x:v>便携颜料罐</x:v>
      </x:c>
      <x:c r="E90" s="168" t="str">
        <x:v>交互道具</x:v>
      </x:c>
      <x:c r="F90" s="167" t="str">
        <x:v>模型/INT-PROP_可交互道具/INT-PROP-004_便携颜料罐/</x:v>
      </x:c>
      <x:c r="G90" s="167" t="str">
        <x:v>可携带的小型颜料采集/封存容器；当前仅设计密封、完整、未交互的默认静态状态；默认状态详细设计已通过用户确认，单项说明见 模型/INT-PROP_可交互道具/INT-PROP-004_便携颜料罐/INT-PROP-004_便携颜料罐.md；默认状态轴测图已生成，见 模型/INT-PROP_可交互道具/INT-PROP-004_便携颜料罐/建模多视图/INT-PROP-004_Axon.png；等待用户确认是否需要其他多视图。</x:v>
      </x:c>
      <x:c r="H90" s="166" t="str">
        <x:v>轴测图待确认</x:v>
      </x:c>
    </x:row>
    <x:row r="91">
      <x:c r="A91" s="166" t="n">
        <x:v>86</x:v>
      </x:c>
      <x:c r="B91" s="166" t="str">
        <x:v>INT-PROP-005</x:v>
      </x:c>
      <x:c r="C91" s="167" t="str">
        <x:v>互动道具·颜料容器</x:v>
      </x:c>
      <x:c r="D91" s="167" t="str">
        <x:v>标准颜料封存罐</x:v>
      </x:c>
      <x:c r="E91" s="168" t="str">
        <x:v>交互道具</x:v>
      </x:c>
      <x:c r="F91" s="167" t="str">
        <x:v>模型/INT-PROP_可交互道具/INT-PROP-005_标准颜料封存罐/</x:v>
      </x:c>
      <x:c r="G91" s="167" t="str">
        <x:v>常见颜料资源容器，能够承载运行时颜色或元素标识；当前仅设计密封、完整、未交互的默认静态状态；默认状态详细设计已通过用户确认，单项说明见 模型/INT-PROP_可交互道具/INT-PROP-005_标准颜料封存罐/INT-PROP-005_标准颜料封存罐.md；默认状态轴测图已生成，见 模型/INT-PROP_可交互道具/INT-PROP-005_标准颜料封存罐/建模多视图/INT-PROP-005_Axon.png；等待用户确认是否需要其他多视图。</x:v>
      </x:c>
      <x:c r="H91" s="166" t="str">
        <x:v>轴测图待确认</x:v>
      </x:c>
    </x:row>
    <x:row r="92">
      <x:c r="A92" s="166" t="n">
        <x:v>87</x:v>
      </x:c>
      <x:c r="B92" s="166" t="str">
        <x:v>INT-PROP-006</x:v>
      </x:c>
      <x:c r="C92" s="167" t="str">
        <x:v>互动道具·颜料容器</x:v>
      </x:c>
      <x:c r="D92" s="167" t="str">
        <x:v>大型颜料储罐</x:v>
      </x:c>
      <x:c r="E92" s="168" t="str">
        <x:v>交互道具</x:v>
      </x:c>
      <x:c r="F92" s="167" t="str">
        <x:v>模型/INT-PROP_可交互道具/INT-PROP-006_大型颜料储罐/</x:v>
      </x:c>
      <x:c r="G92" s="167" t="str">
        <x:v>场景固定式的大容量颜料采集/储存设施；当前仅设计密封、完整、未交互的默认静态状态；默认状态详细设计已通过用户确认，单项说明见 模型/INT-PROP_可交互道具/INT-PROP-006_大型颜料储罐/INT-PROP-006_大型颜料储罐.md；默认状态轴测图已生成，见 模型/INT-PROP_可交互道具/INT-PROP-006_大型颜料储罐/建模多视图/INT-PROP-006_Axon.png；等待用户确认是否需要其他多视图。</x:v>
      </x:c>
      <x:c r="H92" s="166" t="str">
        <x:v>轴测图待确认</x:v>
      </x:c>
    </x:row>
    <x:row r="93">
      <x:c r="A93" s="166" t="n">
        <x:v>88</x:v>
      </x:c>
      <x:c r="B93" s="166" t="str">
        <x:v>INT-PROP-007</x:v>
      </x:c>
      <x:c r="C93" s="167" t="str">
        <x:v>互动道具·颜料容器</x:v>
      </x:c>
      <x:c r="D93" s="167" t="str">
        <x:v>泄漏危险颜料罐</x:v>
      </x:c>
      <x:c r="E93" s="168" t="str">
        <x:v>交互道具</x:v>
      </x:c>
      <x:c r="F93" s="167" t="str">
        <x:v>模型/INT-PROP_可交互道具/INT-PROP-007_泄漏危险颜料罐/</x:v>
      </x:c>
      <x:c r="G93" s="167" t="str">
        <x:v>具有危险提示与局部泄漏结构的特殊颜料容器；当前只定义未被玩家操作时的默认静态外观，泄漏效果与状态后续确认；默认状态详细设计已通过用户确认，单项说明见 模型/INT-PROP_可交互道具/INT-PROP-007_泄漏危险颜料罐/INT-PROP-007_泄漏危险颜料罐.md；默认状态轴测图已生成，见 模型/INT-PROP_可交互道具/INT-PROP-007_泄漏危险颜料罐/建模多视图/INT-PROP-007_Axon.png；等待用户确认是否需要其他多视图。</x:v>
      </x:c>
      <x:c r="H93" s="166" t="str">
        <x:v>轴测图待确认</x:v>
      </x:c>
    </x:row>
    <x:row r="94">
      <x:c r="A94" s="166" t="n">
        <x:v>89</x:v>
      </x:c>
      <x:c r="B94" s="166" t="str">
        <x:v>INT-PROP-008</x:v>
      </x:c>
      <x:c r="C94" s="167" t="str">
        <x:v>互动道具·可破坏容器</x:v>
      </x:c>
      <x:c r="D94" s="167" t="str">
        <x:v>木质货箱</x:v>
      </x:c>
      <x:c r="E94" s="168" t="str">
        <x:v>交互道具</x:v>
      </x:c>
      <x:c r="F94" s="167" t="str">
        <x:v>模型/INT-PROP_可交互道具/INT-PROP-008_木质货箱/</x:v>
      </x:c>
      <x:c r="G94" s="167" t="str">
        <x:v>轻型可破坏货运容器；当前仅设计完整、未受击的默认静态状态；默认状态详细设计已通过用户确认，单项说明见 模型/INT-PROP_可交互道具/INT-PROP-008_木质货箱/INT-PROP-008_木质货箱.md；默认状态轴测图已生成，见 模型/INT-PROP_可交互道具/INT-PROP-008_木质货箱/建模多视图/INT-PROP-008_Axon.png；等待用户确认是否需要其他多视图。</x:v>
      </x:c>
      <x:c r="H94" s="166" t="str">
        <x:v>轴测图待确认</x:v>
      </x:c>
    </x:row>
    <x:row r="95">
      <x:c r="A95" s="166" t="n">
        <x:v>90</x:v>
      </x:c>
      <x:c r="B95" s="166" t="str">
        <x:v>INT-PROP-009</x:v>
      </x:c>
      <x:c r="C95" s="167" t="str">
        <x:v>互动道具·可破坏容器</x:v>
      </x:c>
      <x:c r="D95" s="167" t="str">
        <x:v>陶制储罐</x:v>
      </x:c>
      <x:c r="E95" s="168" t="str">
        <x:v>交互道具</x:v>
      </x:c>
      <x:c r="F95" s="167" t="str">
        <x:v>模型/INT-PROP_可交互道具/INT-PROP-009_陶制储罐/</x:v>
      </x:c>
      <x:c r="G95" s="167" t="str">
        <x:v>脆性可破坏储存容器，与绿洲生活区语言兼容但不绑定具体地图；当前仅设计完整、未受击的默认静态状态；默认状态详细设计已通过用户确认，单项说明见 模型/INT-PROP_可交互道具/INT-PROP-009_陶制储罐/INT-PROP-009_陶制储罐.md；默认状态轴测图已生成，见 模型/INT-PROP_可交互道具/INT-PROP-009_陶制储罐/建模多视图/INT-PROP-009_Axon.png；等待用户确认是否需要其他多视图。</x:v>
      </x:c>
      <x:c r="H95" s="166" t="str">
        <x:v>轴测图待确认</x:v>
      </x:c>
    </x:row>
    <x:row r="96">
      <x:c r="A96" s="166" t="n">
        <x:v>91</x:v>
      </x:c>
      <x:c r="B96" s="166" t="str">
        <x:v>INT-PROP-010</x:v>
      </x:c>
      <x:c r="C96" s="167" t="str">
        <x:v>互动道具·可破坏容器</x:v>
      </x:c>
      <x:c r="D96" s="167" t="str">
        <x:v>轻金属运输箱</x:v>
      </x:c>
      <x:c r="E96" s="168" t="str">
        <x:v>交互道具</x:v>
      </x:c>
      <x:c r="F96" s="167" t="str">
        <x:v>模型/INT-PROP_可交互道具/INT-PROP-010_轻金属运输箱/</x:v>
      </x:c>
      <x:c r="G96" s="167" t="str">
        <x:v>耐用型可破坏运输容器，与木箱和陶罐形成材质及轮廓差异；当前仅设计完整、未受击的默认静态状态；默认状态详细设计已通过用户确认，单项说明见 模型/INT-PROP_可交互道具/INT-PROP-010_轻金属运输箱/INT-PROP-010_轻金属运输箱.md；默认状态轴测图已生成，见 模型/INT-PROP_可交互道具/INT-PROP-010_轻金属运输箱/建模多视图/INT-PROP-010_Axon.png；等待用户确认是否需要其他多视图。</x:v>
      </x:c>
      <x:c r="H96" s="166" t="str">
        <x:v>轴测图待确认</x:v>
      </x:c>
    </x:row>
    <x:row r="97">
      <x:c r="A97" s="166" t="n">
        <x:v>92</x:v>
      </x:c>
      <x:c r="B97" s="166" t="str">
        <x:v>INT-PROP-011</x:v>
      </x:c>
      <x:c r="C97" s="167" t="str">
        <x:v>互动道具·玩家掉落</x:v>
      </x:c>
      <x:c r="D97" s="167" t="str">
        <x:v>玩家死亡箱</x:v>
      </x:c>
      <x:c r="E97" s="168" t="str">
        <x:v>交互道具</x:v>
      </x:c>
      <x:c r="F97" s="167" t="str">
        <x:v>模型/INT-PROP_可交互道具/INT-PROP-011_玩家死亡箱/</x:v>
      </x:c>
      <x:c r="G97" s="167" t="str">
        <x:v>玩家死亡后生成的掉落容器；基础模型保持统一，玩家身份、阵营或颜色信息预留运行时注入，不烘焙进模型；当前仅设计关闭、未领取状态；默认状态详细设计已通过用户确认，单项说明见 模型/INT-PROP_可交互道具/INT-PROP-011_玩家死亡箱/INT-PROP-011_玩家死亡箱.md；默认状态轴测图已生成，见 模型/INT-PROP_可交互道具/INT-PROP-011_玩家死亡箱/建模多视图/INT-PROP-011_Axon.png；等待用户确认是否需要其他多视图。</x:v>
      </x:c>
      <x:c r="H97" s="166" t="str">
        <x:v>轴测图待确认</x:v>
      </x:c>
    </x:row>
    <x:row r="98">
      <x:c r="A98" s="166" t="n">
        <x:v>93</x:v>
      </x:c>
      <x:c r="B98" s="166" t="str">
        <x:v>INT-PROP-012</x:v>
      </x:c>
      <x:c r="C98" s="167" t="str">
        <x:v>互动道具·撤离设施</x:v>
      </x:c>
      <x:c r="D98" s="167" t="str">
        <x:v>撤离点装置</x:v>
      </x:c>
      <x:c r="E98" s="168" t="str">
        <x:v>交互道具</x:v>
      </x:c>
      <x:c r="F98" s="167" t="str">
        <x:v>模型/INT-PROP_可交互道具/INT-PROP-012_撤离点装置/</x:v>
      </x:c>
      <x:c r="G98" s="167" t="str">
        <x:v>撤离点唯一的世界空间装置，同时承担中远距离识别与近距离发起撤离；默认状态轴测图已生成，见 模型/INT-PROP_可交互道具/INT-PROP-012_撤离点装置/建模多视图/INT-PROP-012_Axon.png；等待用户确认是否需要其他多视图。</x:v>
      </x:c>
      <x:c r="H98" s="166" t="str">
        <x:v>轴测图待确认</x:v>
      </x:c>
    </x:row>
    <x:row r="99">
      <x:c r="A99" s="166" t="n">
        <x:v>94</x:v>
      </x:c>
      <x:c r="B99" s="166" t="str">
        <x:v>UI-001</x:v>
      </x:c>
      <x:c r="C99" s="167" t="str">
        <x:v>—</x:v>
      </x:c>
      <x:c r="D99" s="167" t="str">
        <x:v>常驻 HUD 组件</x:v>
      </x:c>
      <x:c r="E99" s="168" t="str">
        <x:v>UI</x:v>
      </x:c>
      <x:c r="F99" s="167" t="str">
        <x:v>UI/UI-001_常驻HUD组件/</x:v>
      </x:c>
      <x:c r="G99" s="167" t="str">
        <x:v>已确认方案：清透机能 HUD 全状态稿（已确认方案/）。</x:v>
      </x:c>
      <x:c r="H99" s="166" t="str">
        <x:v>已完成-符合</x:v>
      </x:c>
    </x:row>
    <x:row r="100">
      <x:c r="A100" s="166" t="n">
        <x:v>95</x:v>
      </x:c>
      <x:c r="B100" s="166" t="str">
        <x:v>UI-002</x:v>
      </x:c>
      <x:c r="C100" s="167" t="str">
        <x:v>—</x:v>
      </x:c>
      <x:c r="D100" s="167" t="str">
        <x:v>纹身工作台界面</x:v>
      </x:c>
      <x:c r="E100" s="168" t="str">
        <x:v>UI</x:v>
      </x:c>
      <x:c r="F100" s="167" t="str">
        <x:v>UI/UI-002_纹身工作台界面/</x:v>
      </x:c>
      <x:c r="G100" s="167" t="str">
        <x:v>已确认方案：颜料失序纹身工作台主界面（已确认方案/）。</x:v>
      </x:c>
      <x:c r="H100" s="166" t="str">
        <x:v>已完成-符合</x:v>
      </x:c>
    </x:row>
    <x:row r="101">
      <x:c r="A101" s="166" t="n">
        <x:v>96</x:v>
      </x:c>
      <x:c r="B101" s="166" t="str">
        <x:v>UI-003-E01</x:v>
      </x:c>
      <x:c r="C101" s="167" t="str">
        <x:v>UI-003 图标可组合素材</x:v>
      </x:c>
      <x:c r="D101" s="167" t="str">
        <x:v>元素图标：火（Red）</x:v>
      </x:c>
      <x:c r="E101" s="168" t="str">
        <x:v>UI</x:v>
      </x:c>
      <x:c r="F101" s="167" t="str">
        <x:v>UI/UI-003_元素与图案图标/</x:v>
      </x:c>
      <x:c r="G101" s="167" t="str">
        <x:v>无背景元素图标；主轮廓：火焰。透明 PNG 已确认并位于已确认方案/元素图标/；由五种可组合背景层承载。</x:v>
      </x:c>
      <x:c r="H101" s="166" t="str">
        <x:v>已完成-符合</x:v>
      </x:c>
    </x:row>
    <x:row r="102">
      <x:c r="A102" s="166" t="n">
        <x:v>97</x:v>
      </x:c>
      <x:c r="B102" s="166" t="str">
        <x:v>UI-003-E02</x:v>
      </x:c>
      <x:c r="C102" s="167" t="str">
        <x:v>UI-003 图标可组合素材</x:v>
      </x:c>
      <x:c r="D102" s="167" t="str">
        <x:v>元素图标：雷（Yellow）</x:v>
      </x:c>
      <x:c r="E102" s="168" t="str">
        <x:v>UI</x:v>
      </x:c>
      <x:c r="F102" s="167" t="str">
        <x:v>UI/UI-003_元素与图案图标/</x:v>
      </x:c>
      <x:c r="G102" s="167" t="str">
        <x:v>无背景元素图标；主轮廓：折角闪电。透明 PNG 已确认并位于已确认方案/元素图标/；由五种可组合背景层承载。</x:v>
      </x:c>
      <x:c r="H102" s="166" t="str">
        <x:v>已完成-符合</x:v>
      </x:c>
    </x:row>
    <x:row r="103">
      <x:c r="A103" s="166" t="n">
        <x:v>98</x:v>
      </x:c>
      <x:c r="B103" s="166" t="str">
        <x:v>UI-003-E03</x:v>
      </x:c>
      <x:c r="C103" s="167" t="str">
        <x:v>UI-003 图标可组合素材</x:v>
      </x:c>
      <x:c r="D103" s="167" t="str">
        <x:v>元素图标：自然／毒（Green）</x:v>
      </x:c>
      <x:c r="E103" s="168" t="str">
        <x:v>UI</x:v>
      </x:c>
      <x:c r="F103" s="167" t="str">
        <x:v>UI/UI-003_元素与图案图标/</x:v>
      </x:c>
      <x:c r="G103" s="167" t="str">
        <x:v>无背景元素图标；主轮廓：带叶脉的液滴。透明 PNG 已确认并位于已确认方案/元素图标/；由五种可组合背景层承载。</x:v>
      </x:c>
      <x:c r="H103" s="166" t="str">
        <x:v>已完成-符合</x:v>
      </x:c>
    </x:row>
    <x:row r="104">
      <x:c r="A104" s="166" t="n">
        <x:v>99</x:v>
      </x:c>
      <x:c r="B104" s="166" t="str">
        <x:v>UI-003-E04</x:v>
      </x:c>
      <x:c r="C104" s="167" t="str">
        <x:v>UI-003 图标可组合素材</x:v>
      </x:c>
      <x:c r="D104" s="167" t="str">
        <x:v>元素图标：冰（Blue）</x:v>
      </x:c>
      <x:c r="E104" s="168" t="str">
        <x:v>UI</x:v>
      </x:c>
      <x:c r="F104" s="167" t="str">
        <x:v>UI/UI-003_元素与图案图标/</x:v>
      </x:c>
      <x:c r="G104" s="167" t="str">
        <x:v>无背景元素图标；主轮廓：六臂雪花。透明 PNG 已确认并位于已确认方案/元素图标/；由五种可组合背景层承载。</x:v>
      </x:c>
      <x:c r="H104" s="166" t="str">
        <x:v>已完成-符合</x:v>
      </x:c>
    </x:row>
    <x:row r="105">
      <x:c r="A105" s="166" t="n">
        <x:v>100</x:v>
      </x:c>
      <x:c r="B105" s="166" t="str">
        <x:v>UI-003-E05</x:v>
      </x:c>
      <x:c r="C105" s="167" t="str">
        <x:v>UI-003 图标可组合素材</x:v>
      </x:c>
      <x:c r="D105" s="167" t="str">
        <x:v>元素图标：异变（Purple）</x:v>
      </x:c>
      <x:c r="E105" s="168" t="str">
        <x:v>UI</x:v>
      </x:c>
      <x:c r="F105" s="167" t="str">
        <x:v>UI/UI-003_元素与图案图标/</x:v>
      </x:c>
      <x:c r="G105" s="167" t="str">
        <x:v>无背景元素图标；主轮廓：带节点的螺旋。透明 PNG 已确认并位于已确认方案/元素图标/；由五种可组合背景层承载。</x:v>
      </x:c>
      <x:c r="H105" s="166" t="str">
        <x:v>已完成-符合</x:v>
      </x:c>
    </x:row>
    <x:row r="106">
      <x:c r="A106" s="166" t="n">
        <x:v>101</x:v>
      </x:c>
      <x:c r="B106" s="166" t="str">
        <x:v>UI-003-E06</x:v>
      </x:c>
      <x:c r="C106" s="167" t="str">
        <x:v>UI-003 图标可组合素材</x:v>
      </x:c>
      <x:c r="D106" s="167" t="str">
        <x:v>元素图标：神圣（Gold）</x:v>
      </x:c>
      <x:c r="E106" s="168" t="str">
        <x:v>UI</x:v>
      </x:c>
      <x:c r="F106" s="167" t="str">
        <x:v>UI/UI-003_元素与图案图标/</x:v>
      </x:c>
      <x:c r="G106" s="167" t="str">
        <x:v>无背景元素图标；主轮廓：四芒光与光环。透明 PNG 已确认并位于已确认方案/元素图标/；由五种可组合背景层承载。</x:v>
      </x:c>
      <x:c r="H106" s="166" t="str">
        <x:v>已完成-符合</x:v>
      </x:c>
    </x:row>
    <x:row r="107">
      <x:c r="A107" s="166" t="n">
        <x:v>102</x:v>
      </x:c>
      <x:c r="B107" s="166" t="str">
        <x:v>UI-003-E07</x:v>
      </x:c>
      <x:c r="C107" s="167" t="str">
        <x:v>UI-003 图标可组合素材</x:v>
      </x:c>
      <x:c r="D107" s="167" t="str">
        <x:v>元素图标：纯能／光（White）</x:v>
      </x:c>
      <x:c r="E107" s="168" t="str">
        <x:v>UI</x:v>
      </x:c>
      <x:c r="F107" s="167" t="str">
        <x:v>UI/UI-003_元素与图案图标/</x:v>
      </x:c>
      <x:c r="G107" s="167" t="str">
        <x:v>无背景元素图标；主轮廓：切面能量晶体。透明 PNG 已确认并位于已确认方案/元素图标/；由五种可组合背景层承载。</x:v>
      </x:c>
      <x:c r="H107" s="166" t="str">
        <x:v>已完成-符合</x:v>
      </x:c>
    </x:row>
    <x:row r="108">
      <x:c r="A108" s="166" t="n">
        <x:v>103</x:v>
      </x:c>
      <x:c r="B108" s="166" t="str">
        <x:v>UI-003-B01</x:v>
      </x:c>
      <x:c r="C108" s="167" t="str">
        <x:v>UI-003 图标可组合素材</x:v>
      </x:c>
      <x:c r="D108" s="167" t="str">
        <x:v>图标背景：HUD 构筑摘要槽背景</x:v>
      </x:c>
      <x:c r="E108" s="168" t="str">
        <x:v>UI</x:v>
      </x:c>
      <x:c r="F108" s="167" t="str">
        <x:v>UI/UI-003_元素与图案图标/</x:v>
      </x:c>
      <x:c r="G108" s="167" t="str">
        <x:v>TattooEnchantForm_slot_header.png：左侧纹身槽、中部元素／信息槽及右侧摘要区；不烘焙纹身或元素图案。 透明 PNG 已确认，位于 Assets/Game/Sprite/UI/TattooEnchantForm/。</x:v>
      </x:c>
      <x:c r="H108" s="166" t="str">
        <x:v>已完成-符合</x:v>
      </x:c>
    </x:row>
    <x:row r="109">
      <x:c r="A109" s="166" t="n">
        <x:v>104</x:v>
      </x:c>
      <x:c r="B109" s="166" t="str">
        <x:v>UI-003-B02</x:v>
      </x:c>
      <x:c r="C109" s="167" t="str">
        <x:v>UI-003 图标可组合素材</x:v>
      </x:c>
      <x:c r="D109" s="167" t="str">
        <x:v>图标背景：工作台样式卡·选中</x:v>
      </x:c>
      <x:c r="E109" s="168" t="str">
        <x:v>UI</x:v>
      </x:c>
      <x:c r="F109" s="167" t="str">
        <x:v>UI/UI-003_元素与图案图标/</x:v>
      </x:c>
      <x:c r="G109" s="167" t="str">
        <x:v>TattooEnchantForm_card_selected.png：橙色高亮描边的样式卡背景；不烘焙纹身或元素图案。 透明 PNG 已确认，位于 Assets/Game/Sprite/UI/TattooEnchantForm/。</x:v>
      </x:c>
      <x:c r="H109" s="166" t="str">
        <x:v>已完成-符合</x:v>
      </x:c>
    </x:row>
    <x:row r="110">
      <x:c r="A110" s="166" t="n">
        <x:v>105</x:v>
      </x:c>
      <x:c r="B110" s="166" t="str">
        <x:v>UI-003-B03</x:v>
      </x:c>
      <x:c r="C110" s="167" t="str">
        <x:v>UI-003 图标可组合素材</x:v>
      </x:c>
      <x:c r="D110" s="167" t="str">
        <x:v>图标背景：工作台样式卡·常态</x:v>
      </x:c>
      <x:c r="E110" s="168" t="str">
        <x:v>UI</x:v>
      </x:c>
      <x:c r="F110" s="167" t="str">
        <x:v>UI/UI-003_元素与图案图标/</x:v>
      </x:c>
      <x:c r="G110" s="167" t="str">
        <x:v>TattooEnchantForm_card_normal.png：银灰描边的常态样式卡背景；不烘焙纹身或元素图案。 透明 PNG 已确认，位于 Assets/Game/Sprite/UI/TattooEnchantForm/。</x:v>
      </x:c>
      <x:c r="H110" s="166" t="str">
        <x:v>已完成-符合</x:v>
      </x:c>
    </x:row>
    <x:row r="111">
      <x:c r="A111" s="166" t="n">
        <x:v>106</x:v>
      </x:c>
      <x:c r="B111" s="166" t="str">
        <x:v>UI-003-B04</x:v>
      </x:c>
      <x:c r="C111" s="167" t="str">
        <x:v>UI-003 图标可组合素材</x:v>
      </x:c>
      <x:c r="D111" s="167" t="str">
        <x:v>图标背景：工作台样式卡·禁用</x:v>
      </x:c>
      <x:c r="E111" s="168" t="str">
        <x:v>UI</x:v>
      </x:c>
      <x:c r="F111" s="167" t="str">
        <x:v>UI/UI-003_元素与图案图标/</x:v>
      </x:c>
      <x:c r="G111" s="167" t="str">
        <x:v>TattooEnchantForm_card_disabled.png：低对比深色禁用样式卡背景；不烘焙纹身或元素图案。 透明 PNG 已确认，位于 Assets/Game/Sprite/UI/TattooEnchantForm/。</x:v>
      </x:c>
      <x:c r="H111" s="166" t="str">
        <x:v>已完成-符合</x:v>
      </x:c>
    </x:row>
    <x:row r="112">
      <x:c r="A112" s="166" t="n">
        <x:v>107</x:v>
      </x:c>
      <x:c r="B112" s="166" t="str">
        <x:v>UI-003-B05</x:v>
      </x:c>
      <x:c r="C112" s="167" t="str">
        <x:v>UI-003 图标可组合素材</x:v>
      </x:c>
      <x:c r="D112" s="167" t="str">
        <x:v>图标背景：掉落物／库存六边形背景</x:v>
      </x:c>
      <x:c r="E112" s="168" t="str">
        <x:v>UI</x:v>
      </x:c>
      <x:c r="F112" s="167" t="str">
        <x:v>UI/UI-003_元素与图案图标/</x:v>
      </x:c>
      <x:c r="G112" s="167" t="str">
        <x:v>TattooEnchantForm_slot_hex.png：六边形徽章底板，用于掉落物及库存展示；不烘焙纹身或元素图案。 透明 PNG 已确认，位于 Assets/Game/Sprite/UI/TattooEnchantForm/。</x:v>
      </x:c>
      <x:c r="H112" s="166" t="str">
        <x:v>已完成-符合</x:v>
      </x:c>
    </x:row>
    <x:row r="113">
      <x:c r="A113" s="166" t="n">
        <x:v>108</x:v>
      </x:c>
      <x:c r="B113" s="166" t="str">
        <x:v>UI-004</x:v>
      </x:c>
      <x:c r="C113" s="167" t="str">
        <x:v>—</x:v>
      </x:c>
      <x:c r="D113" s="167" t="str">
        <x:v>物资、死亡箱与撤离反馈</x:v>
      </x:c>
      <x:c r="E113" s="168" t="str">
        <x:v>UI</x:v>
      </x:c>
      <x:c r="F113" s="167" t="str">
        <x:v>UI/UI-004_物资死亡箱撤离反馈/</x:v>
      </x:c>
      <x:c r="G113" s="167" t="str">
        <x:v>已确认方案：清透机能物资、死亡箱与撤离反馈全状态稿（已确认方案/）。</x:v>
      </x:c>
      <x:c r="H113" s="166" t="str">
        <x:v>已完成-符合</x:v>
      </x:c>
    </x:row>
    <x:row r="114">
      <x:c r="A114" s="166" t="n">
        <x:v>109</x:v>
      </x:c>
      <x:c r="B114" s="166" t="str">
        <x:v>UI-005</x:v>
      </x:c>
      <x:c r="C114" s="167" t="str">
        <x:v>—</x:v>
      </x:c>
      <x:c r="D114" s="167" t="str">
        <x:v>局外熟练度与构筑档案</x:v>
      </x:c>
      <x:c r="E114" s="168" t="str">
        <x:v>UI</x:v>
      </x:c>
      <x:c r="F114" s="167" t="str">
        <x:v>UI/UI-005_熟练度与构筑档案/</x:v>
      </x:c>
      <x:c r="G114" s="167" t="str">
        <x:v>A/B/C 三套完整视觉稿已交付；已确认方案完成结构重制，并为熟练总览、图案详情、构筑快照、战绩外观和解锁反馈提供最终静态素材及验证报告。此状态表示美术交付通过，不等同于 Unity 界面接入完成。</x:v>
      </x:c>
      <x:c r="H114" s="166" t="str">
        <x:v>已完成-符合</x:v>
      </x:c>
    </x:row>
    <x:row r="115">
      <x:c r="A115" s="166" t="n">
        <x:v>110</x:v>
      </x:c>
      <x:c r="B115" s="166" t="str">
        <x:v>UI-COMMON-001</x:v>
      </x:c>
      <x:c r="C115" s="167" t="str">
        <x:v>通用 UI 组件</x:v>
      </x:c>
      <x:c r="D115" s="167" t="str">
        <x:v>通用可复用 UI 壳体与状态组件</x:v>
      </x:c>
      <x:c r="E115" s="168" t="str">
        <x:v>UI</x:v>
      </x:c>
      <x:c r="F115" s="167" t="str">
        <x:v>通用UI组件/</x:v>
      </x:c>
      <x:c r="G115" s="167" t="str">
        <x:v>已交付按钮、卡片/列表、焦点/选择、状态、箭头、输入提示、进度与面板共 17 张 PNG，并提供组件规范、素材清单和验证报告。此状态表示美术素材验收通过，不等同于所有业务界面均已接入。</x:v>
      </x:c>
      <x:c r="H115" s="166" t="str">
        <x:v>已完成-符合</x:v>
      </x:c>
    </x:row>
    <x:row r="116">
      <x:c r="A116" s="166" t="n">
        <x:v>111</x:v>
      </x:c>
      <x:c r="B116" s="166" t="str">
        <x:v>GEN-001</x:v>
      </x:c>
      <x:c r="C116" s="167" t="str">
        <x:v>—</x:v>
      </x:c>
      <x:c r="D116" s="167" t="str">
        <x:v>六部位纹身贴花与遮罩</x:v>
      </x:c>
      <x:c r="E116" s="168" t="str">
        <x:v>通用</x:v>
      </x:c>
      <x:c r="F116" s="167" t="str">
        <x:v>通用/GEN-001_纹身贴花与遮罩/</x:v>
      </x:c>
      <x:c r="G116" s="167" t="str">
        <x:v>已确认：S07 生物机械用于完整贴花；S01 几何黑工用于符号化纹身（已确认/）。</x:v>
      </x:c>
      <x:c r="H116" s="166" t="str">
        <x:v>已完成-符合</x:v>
      </x:c>
    </x:row>
    <x:row r="117">
      <x:c r="A117" s="166" t="n">
        <x:v>112</x:v>
      </x:c>
      <x:c r="B117" s="166" t="str">
        <x:v>GEN-002</x:v>
      </x:c>
      <x:c r="C117" s="167" t="str">
        <x:v>—</x:v>
      </x:c>
      <x:c r="D117" s="167" t="str">
        <x:v>活性颜料材质与 Shader</x:v>
      </x:c>
      <x:c r="E117" s="168" t="str">
        <x:v>通用</x:v>
      </x:c>
      <x:c r="F117" s="167" t="str">
        <x:v>通用/GEN-002_活性颜料材质与Shader/</x:v>
      </x:c>
      <x:c r="G117" s="167" t="str">
        <x:v>角色合成真皮、机械接口、建筑污染、能量流和局部发光的统一材质规则。 现状核验：A/B/C 设计方案文档已存在，但尚未形成覆盖需求范围的正式可复用资源包。</x:v>
      </x:c>
      <x:c r="H117" s="166" t="str">
        <x:v>设计完成-待制作</x:v>
      </x:c>
    </x:row>
    <x:row r="118">
      <x:c r="A118" s="166" t="n">
        <x:v>113</x:v>
      </x:c>
      <x:c r="B118" s="166" t="str">
        <x:v>GEN-003</x:v>
      </x:c>
      <x:c r="C118" s="167" t="str">
        <x:v>—</x:v>
      </x:c>
      <x:c r="D118" s="167" t="str">
        <x:v>纹身与元素 VFX</x:v>
      </x:c>
      <x:c r="E118" s="168" t="str">
        <x:v>通用</x:v>
      </x:c>
      <x:c r="F118" s="167" t="str">
        <x:v>通用/GEN-003_纹身与元素VFX/</x:v>
      </x:c>
      <x:c r="G118" s="167" t="str">
        <x:v>刺青触发、元素命中、局部发光、读条、覆盖和获得样式的共享特效。 现状核验：A/B/C 设计方案文档已存在，但尚未形成覆盖需求范围的正式可复用资源包。</x:v>
      </x:c>
      <x:c r="H118" s="166" t="str">
        <x:v>设计完成-待制作</x:v>
      </x:c>
    </x:row>
    <x:row r="119">
      <x:c r="A119" s="166" t="n">
        <x:v>114</x:v>
      </x:c>
      <x:c r="B119" s="166" t="str">
        <x:v>GEN-004</x:v>
      </x:c>
      <x:c r="C119" s="167" t="str">
        <x:v>—</x:v>
      </x:c>
      <x:c r="D119" s="167" t="str">
        <x:v>灯光、天空与后处理</x:v>
      </x:c>
      <x:c r="E119" s="168" t="str">
        <x:v>通用</x:v>
      </x:c>
      <x:c r="F119" s="167" t="str">
        <x:v>通用/GEN-004_灯光天空后处理/</x:v>
      </x:c>
      <x:c r="G119" s="167" t="str">
        <x:v>晴天、明亮生活街区、局部高饱和污染和终局收束的全局灯光／后处理基线。 现状核验：A/B/C 设计方案文档已存在，但尚未形成覆盖需求范围的正式可复用资源包。</x:v>
      </x:c>
      <x:c r="H119" s="166" t="str">
        <x:v>设计完成-待制作</x:v>
      </x:c>
    </x:row>
    <x:row r="120">
      <x:c r="A120" s="166" t="n">
        <x:v>115</x:v>
      </x:c>
      <x:c r="B120" s="166" t="str">
        <x:v>GEN-005</x:v>
      </x:c>
      <x:c r="C120" s="167" t="str">
        <x:v>—</x:v>
      </x:c>
      <x:c r="D120" s="167" t="str">
        <x:v>模块化贴图与 Trim Sheet</x:v>
      </x:c>
      <x:c r="E120" s="168" t="str">
        <x:v>通用</x:v>
      </x:c>
      <x:c r="F120" s="167" t="str">
        <x:v>通用/GEN-005_模块化贴图与TrimSheet/</x:v>
      </x:c>
      <x:c r="G120" s="167" t="str">
        <x:v>街区建筑、室内、生活道具和局部机械件可共享的贴图、贴花和 Trim Sheet。 现状核验：A/B/C 设计方案文档已存在，但尚未形成覆盖需求范围的正式可复用资源包。</x:v>
      </x:c>
      <x:c r="H120" s="166" t="str">
        <x:v>设计完成-待制作</x:v>
      </x:c>
    </x:row>
    <x:row r="121">
      <x:c r="A121" s="166"/>
      <x:c r="B121" s="166"/>
      <x:c r="C121" s="167"/>
      <x:c r="D121" s="167"/>
      <x:c r="E121" s="168"/>
      <x:c r="F121" s="167"/>
      <x:c r="G121" s="167"/>
      <x:c r="H121" s="166"/>
    </x:row>
    <x:row r="122">
      <x:c r="A122" s="166"/>
      <x:c r="B122" s="166"/>
      <x:c r="C122" s="167"/>
      <x:c r="D122" s="167"/>
      <x:c r="E122" s="168"/>
      <x:c r="F122" s="167"/>
      <x:c r="G122" s="167"/>
      <x:c r="H122" s="166"/>
    </x:row>
    <x:row r="123">
      <x:c r="A123" s="166"/>
      <x:c r="B123" s="166"/>
      <x:c r="C123" s="167"/>
      <x:c r="D123" s="167"/>
      <x:c r="E123" s="168"/>
      <x:c r="F123" s="167"/>
      <x:c r="G123" s="167"/>
      <x:c r="H123" s="166"/>
    </x:row>
    <x:row r="124">
      <x:c r="A124" s="166"/>
      <x:c r="B124" s="166"/>
      <x:c r="C124" s="167"/>
      <x:c r="D124" s="167"/>
      <x:c r="E124" s="168"/>
      <x:c r="F124" s="167"/>
      <x:c r="G124" s="167"/>
      <x:c r="H124" s="166"/>
    </x:row>
    <x:row r="125">
      <x:c r="A125" s="166"/>
      <x:c r="B125" s="166"/>
      <x:c r="C125" s="167"/>
      <x:c r="D125" s="167"/>
      <x:c r="E125" s="168"/>
      <x:c r="F125" s="167"/>
      <x:c r="G125" s="167"/>
      <x:c r="H125" s="166"/>
    </x:row>
    <x:row r="126">
      <x:c r="A126" s="166"/>
      <x:c r="B126" s="166"/>
      <x:c r="C126" s="167"/>
      <x:c r="D126" s="167"/>
      <x:c r="E126" s="168"/>
      <x:c r="F126" s="167"/>
      <x:c r="G126" s="167"/>
      <x:c r="H126" s="166"/>
    </x:row>
    <x:row r="127">
      <x:c r="A127" s="166"/>
      <x:c r="B127" s="166"/>
      <x:c r="C127" s="167"/>
      <x:c r="D127" s="167"/>
      <x:c r="E127" s="168"/>
      <x:c r="F127" s="167"/>
      <x:c r="G127" s="167"/>
      <x:c r="H127" s="166"/>
    </x:row>
    <x:row r="128">
      <x:c r="A128" s="166"/>
      <x:c r="B128" s="166"/>
      <x:c r="C128" s="167"/>
      <x:c r="D128" s="167"/>
      <x:c r="E128" s="168"/>
      <x:c r="F128" s="167"/>
      <x:c r="G128" s="167"/>
      <x:c r="H128" s="166"/>
    </x:row>
    <x:row r="129">
      <x:c r="A129" s="166"/>
      <x:c r="B129" s="166"/>
      <x:c r="C129" s="167"/>
      <x:c r="D129" s="167"/>
      <x:c r="E129" s="168"/>
      <x:c r="F129" s="167"/>
      <x:c r="G129" s="167"/>
      <x:c r="H129" s="166"/>
    </x:row>
    <x:row r="130">
      <x:c r="A130" s="166"/>
      <x:c r="B130" s="166"/>
      <x:c r="C130" s="167"/>
      <x:c r="D130" s="167"/>
      <x:c r="E130" s="168"/>
      <x:c r="F130" s="167"/>
      <x:c r="G130" s="167"/>
      <x:c r="H130" s="166"/>
    </x:row>
    <x:row r="131">
      <x:c r="A131" s="166"/>
      <x:c r="B131" s="166"/>
      <x:c r="C131" s="167"/>
      <x:c r="D131" s="167"/>
      <x:c r="E131" s="168"/>
      <x:c r="F131" s="167"/>
      <x:c r="G131" s="167"/>
      <x:c r="H131" s="166"/>
    </x:row>
    <x:row r="132">
      <x:c r="A132" s="166"/>
      <x:c r="B132" s="166"/>
      <x:c r="C132" s="167"/>
      <x:c r="D132" s="167"/>
      <x:c r="E132" s="168"/>
      <x:c r="F132" s="167"/>
      <x:c r="G132" s="167"/>
      <x:c r="H132" s="166"/>
    </x:row>
    <x:row r="133">
      <x:c r="A133" s="166"/>
      <x:c r="B133" s="166"/>
      <x:c r="C133" s="167"/>
      <x:c r="D133" s="167"/>
      <x:c r="E133" s="168"/>
      <x:c r="F133" s="167"/>
      <x:c r="G133" s="167"/>
      <x:c r="H133" s="166"/>
    </x:row>
    <x:row r="134">
      <x:c r="A134" s="166"/>
      <x:c r="B134" s="166"/>
      <x:c r="C134" s="167"/>
      <x:c r="D134" s="167"/>
      <x:c r="E134" s="168"/>
      <x:c r="F134" s="167"/>
      <x:c r="G134" s="167"/>
      <x:c r="H134" s="166"/>
    </x:row>
    <x:row r="135">
      <x:c r="A135" s="166"/>
      <x:c r="B135" s="166"/>
      <x:c r="C135" s="167"/>
      <x:c r="D135" s="167"/>
      <x:c r="E135" s="168"/>
      <x:c r="F135" s="167"/>
      <x:c r="G135" s="167"/>
      <x:c r="H135" s="166"/>
    </x:row>
    <x:row r="136">
      <x:c r="A136" s="166"/>
      <x:c r="B136" s="166"/>
      <x:c r="C136" s="167"/>
      <x:c r="D136" s="167"/>
      <x:c r="E136" s="168"/>
      <x:c r="F136" s="167"/>
      <x:c r="G136" s="167"/>
      <x:c r="H136" s="166"/>
    </x:row>
    <x:row r="137">
      <x:c r="A137" s="166"/>
      <x:c r="B137" s="166"/>
      <x:c r="C137" s="167"/>
      <x:c r="D137" s="167"/>
      <x:c r="E137" s="168"/>
      <x:c r="F137" s="167"/>
      <x:c r="G137" s="167"/>
      <x:c r="H137" s="166"/>
    </x:row>
  </x:sheetData>
  <x:mergeCells>
    <x:mergeCell ref="A1:H1"/>
    <x:mergeCell ref="A2:H2"/>
  </x:mergeCells>
  <x:conditionalFormatting sqref="F4:F200">
    <x:cfRule type="containsText" dxfId="0" priority="1" operator="containsText" text="待"/>
    <x:cfRule type="containsText" dxfId="1" priority="2" operator="containsText" text="已完成-符合"/>
    <x:cfRule type="containsText" dxfId="2" priority="3" operator="containsText" text="需返工"/>
  </x:conditionalFormatting>
  <x:conditionalFormatting sqref="H6:H70">
    <x:cfRule type="containsText" dxfId="3" priority="4" operator="containsText" text="待制作"/>
    <x:cfRule type="containsText" dxfId="4" priority="5" operator="containsText" text="待分配"/>
    <x:cfRule type="containsText" dxfId="5" priority="6" operator="containsText" text="已完成-符合"/>
    <x:cfRule type="containsText" dxfId="6" priority="7" operator="containsText" text="待制作"/>
    <x:cfRule type="containsText" dxfId="7" priority="8" operator="containsText" text="待分配"/>
    <x:cfRule type="containsText" dxfId="8" priority="9" operator="containsText" text="已完成-符合"/>
  </x:conditionalFormatting>
  <x:conditionalFormatting sqref="H6:H75">
    <x:cfRule type="containsText" dxfId="9" priority="10" operator="containsText" text="待制作"/>
    <x:cfRule type="containsText" dxfId="10" priority="11" operator="containsText" text="待分配"/>
    <x:cfRule type="containsText" dxfId="11" priority="12" operator="containsText" text="已完成-符合"/>
    <x:cfRule type="containsText" dxfId="12" priority="13" operator="containsText" text="待制作"/>
    <x:cfRule type="containsText" dxfId="13" priority="14" operator="containsText" text="待分配"/>
    <x:cfRule type="containsText" dxfId="14" priority="15" operator="containsText" text="已完成-符合"/>
  </x:conditionalFormatting>
  <x:conditionalFormatting sqref="H6:H67">
    <x:cfRule type="containsText" dxfId="15" priority="16" operator="containsText" text="待制作"/>
    <x:cfRule type="containsText" dxfId="16" priority="17" operator="containsText" text="待分配"/>
    <x:cfRule type="containsText" dxfId="17" priority="18" operator="containsText" text="已完成-符合"/>
    <x:cfRule type="containsText" dxfId="18" priority="19" operator="containsText" text="待制作"/>
    <x:cfRule type="containsText" dxfId="19" priority="20" operator="containsText" text="待分配"/>
    <x:cfRule type="containsText" dxfId="20" priority="21" operator="containsText" text="已完成-符合"/>
  </x:conditionalFormatting>
  <x:conditionalFormatting sqref="H6:H137">
    <x:cfRule type="containsText" dxfId="21" priority="22" operator="containsText" text="已完成-符合"/>
    <x:cfRule type="containsText" dxfId="22" priority="23" operator="containsText" text="设计完成-待制作"/>
    <x:cfRule type="containsText" dxfId="23" priority="24" operator="containsText" text="待制作"/>
    <x:cfRule type="containsText" dxfId="24" priority="25" operator="containsText" text="待验收"/>
    <x:cfRule type="containsText" dxfId="25" priority="26" operator="containsText" text="已完成-需返工"/>
    <x:cfRule type="containsText" dxfId="26" priority="27" operator="containsText" text="暂不需要"/>
  </x:conditionalFormatting>
  <x:conditionalFormatting sqref="H6:H124">
    <x:cfRule type="expression" dxfId="27" priority="28">
      <x:formula>$H6="已完成-符合"</x:formula>
    </x:cfRule>
    <x:cfRule type="expression" dxfId="28" priority="29">
      <x:formula>$H6="待详细设计"</x:formula>
    </x:cfRule>
    <x:cfRule type="expression" dxfId="29" priority="30">
      <x:formula>$H6="设计完成-待制作"</x:formula>
    </x:cfRule>
    <x:cfRule type="expression" dxfId="30" priority="31">
      <x:formula>$H6="待制作"</x:formula>
    </x:cfRule>
    <x:cfRule type="expression" dxfId="31" priority="32">
      <x:formula>$H6="待验收"</x:formula>
    </x:cfRule>
    <x:cfRule type="expression" dxfId="32" priority="33">
      <x:formula>$H6="已完成-需返工"</x:formula>
    </x:cfRule>
    <x:cfRule type="expression" dxfId="33" priority="34">
      <x:formula>$H6="暂不需要"</x:formula>
    </x:cfRule>
    <x:cfRule type="cellIs" dxfId="34" priority="35" operator="equal">
      <x:formula>"详细设计待确认"</x:formula>
    </x:cfRule>
    <x:cfRule type="cellIs" dxfId="35" priority="36" operator="equal">
      <x:formula>"轴测图待确认"</x:formula>
    </x:cfRule>
  </x:conditionalFormatting>
  <x:dataValidations count="6">
    <x:dataValidation type="list" sqref="F4:F200">
      <x:formula1>"待分配,待寻找,待制作,待验收,已完成-符合,已完成-需返工,暂不需要"</x:formula1>
    </x:dataValidation>
    <x:dataValidation type="list" sqref="H6:H70">
      <x:formula1>"待分配,待寻找,待制作,待验收,已完成-符合,已完成-需返工,暂不需要"</x:formula1>
    </x:dataValidation>
    <x:dataValidation type="list" sqref="H6:H75">
      <x:formula1>"待分配,待寻找,待制作,待验收,已完成-符合,已完成-需返工,暂不需要"</x:formula1>
    </x:dataValidation>
    <x:dataValidation type="list" sqref="H6:H67">
      <x:formula1>"待分配,待寻找,待制作,待验收,已完成-符合,已完成-需返工,暂不需要"</x:formula1>
    </x:dataValidation>
    <x:dataValidation type="list" sqref="H6:H137">
      <x:formula1>"待分配,待寻找,待制作,设计完成-待制作,待验收,已完成-符合,已完成-需返工,暂不需要"</x:formula1>
    </x:dataValidation>
    <x:dataValidation type="list" sqref="H6:H124">
      <x:formula1>'状态说明'!$A$4:$A$14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d38591a60442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</x:cols>
  <x:sheetData>
    <x:row r="1">
      <x:c r="A1" s="46" t="str">
        <x:v>资源状态说明</x:v>
      </x:c>
      <x:c r="B1" s="46"/>
    </x:row>
    <x:row r="3">
      <x:c r="A3" s="175" t="str">
        <x:v>状态</x:v>
      </x:c>
      <x:c r="B3" s="176" t="str">
        <x:v>使用条件</x:v>
      </x:c>
    </x:row>
    <x:row r="4" ht="34" customHeight="1">
      <x:c r="A4" s="172" t="str">
        <x:v>待分配</x:v>
      </x:c>
      <x:c r="B4" s="47" t="str">
        <x:v>尚未决定由用户寻找、采购还是由 Codex/项目成员制作。</x:v>
      </x:c>
    </x:row>
    <x:row r="5" ht="34" customHeight="1">
      <x:c r="A5" s="172" t="str">
        <x:v>待寻找</x:v>
      </x:c>
      <x:c r="B5" s="47" t="str">
        <x:v>用户正在寻找或采购候选资源；未验收。</x:v>
      </x:c>
    </x:row>
    <x:row r="6" ht="34" customHeight="1">
      <x:c r="A6" s="172" t="str">
        <x:v>待制作</x:v>
      </x:c>
      <x:c r="B6" s="47" t="str">
        <x:v>需求已明确，但没有达到正式交付层级的有效资源。</x:v>
      </x:c>
    </x:row>
    <x:row r="7" ht="34" customHeight="1">
      <x:c r="A7" s="172" t="str">
        <x:v>待详细设计</x:v>
      </x:c>
      <x:c r="B7" s="47" t="str">
        <x:v>仅完成需求条目登记；详细描述、视觉方向和生产规格尚待用户确认。</x:v>
      </x:c>
    </x:row>
    <x:row r="8" ht="34" customHeight="1">
      <x:c r="A8" s="172" t="str">
        <x:v>详细设计待确认</x:v>
      </x:c>
      <x:c r="B8" s="47" t="str">
        <x:v>默认状态详细描述已完成，等待用户确认；未授权生成效果图或后续资产。</x:v>
      </x:c>
    </x:row>
    <x:row r="9" ht="34" customHeight="1">
      <x:c r="A9" s="172" t="str">
        <x:v>设计完成-待制作</x:v>
      </x:c>
      <x:c r="B9" s="47" t="str">
        <x:v>概念图、设计方案或规格已完成，但模型/贴图/UI 最终素材等正式资产尚未完成。</x:v>
      </x:c>
    </x:row>
    <x:row r="10" ht="34" customHeight="1">
      <x:c r="A10" s="173" t="str">
        <x:v>轴测图待确认</x:v>
      </x:c>
      <x:c r="B10" s="48" t="str">
        <x:v>默认状态轴测图已生成，等待用户确认造型，并决定是否继续生成其他多视图。</x:v>
      </x:c>
    </x:row>
    <x:row r="11">
      <x:c r="A11" s="174" t="str">
        <x:v>待验收</x:v>
      </x:c>
      <x:c r="B11" s="167" t="str">
        <x:v>正式资源已存在，等待人工视觉、格式、性能或场景效果验收。</x:v>
      </x:c>
    </x:row>
    <x:row r="12">
      <x:c r="A12" s="174" t="str">
        <x:v>已完成-符合</x:v>
      </x:c>
      <x:c r="B12" s="167" t="str">
        <x:v>正式美术交付已验收通过；是否已接入 Unity 以交付说明为准。</x:v>
      </x:c>
    </x:row>
    <x:row r="13">
      <x:c r="A13" s="167" t="str">
        <x:v>已完成-需返工</x:v>
      </x:c>
      <x:c r="B13" s="167" t="str">
        <x:v>资源已存在但未满足需求，保留原路径等待返工。</x:v>
      </x:c>
    </x:row>
    <x:row r="14">
      <x:c r="A14" s="167" t="str">
        <x:v>暂不需要</x:v>
      </x:c>
      <x:c r="B14" s="167" t="str">
        <x:v>已从当前范围移出，保留记录避免重复采购或制作。</x:v>
      </x:c>
    </x:row>
  </x:sheetData>
  <x:mergeCells>
    <x:mergeCell ref="A1:B1"/>
  </x:mergeCells>
  <x:pageMargins left="0.7" right="0.7" top="0.75" bottom="0.75" header="0.3" footer="0.3"/>
</x:worksheet>
</file>