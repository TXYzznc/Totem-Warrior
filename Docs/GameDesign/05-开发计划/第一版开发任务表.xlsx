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7ac08cebc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04b898b24804a6b"/>
    <x:sheet xmlns:r="http://schemas.openxmlformats.org/officeDocument/2006/relationships" name="开发任务" sheetId="2" r:id="Rb6a9d9d979164af0"/>
    <x:sheet xmlns:r="http://schemas.openxmlformats.org/officeDocument/2006/relationships" name="里程碑" sheetId="3" r:id="Rcaa7b111141140d6"/>
    <x:sheet xmlns:r="http://schemas.openxmlformats.org/officeDocument/2006/relationships" name="工作流" sheetId="4" r:id="R6b2dbdb7a68940cc"/>
    <x:sheet xmlns:r="http://schemas.openxmlformats.org/officeDocument/2006/relationships" name="统计概览" sheetId="5" r:id="R5f451e07b9f34268"/>
    <x:sheet xmlns:r="http://schemas.openxmlformats.org/officeDocument/2006/relationships" name="风险" sheetId="6" r:id="Rb4e2c25e431242c4"/>
    <x:sheet xmlns:r="http://schemas.openxmlformats.org/officeDocument/2006/relationships" name="美术并行路线" sheetId="7" r:id="Rfbdeb811c799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C7A"/>
      </x:patternFill>
    </x:fill>
    <x:fill>
      <x:patternFill patternType="solid">
        <x:fgColor rgb="FF17324D"/>
      </x:patternFill>
    </x:fill>
  </x:fills>
  <x:borders count="27">
    <x:border/>
    <x:border>
      <x:right style="thin">
        <x:color rgb="FF7F95A8"/>
      </x:right>
    </x:border>
    <x:border>
      <x:left style="thin">
        <x:color rgb="FF7F95A8"/>
      </x:left>
      <x:right style="thin">
        <x:color rgb="FF7F95A8"/>
      </x:right>
    </x:border>
    <x:border>
      <x:left style="thin">
        <x:color rgb="FF7F95A8"/>
      </x:left>
    </x:border>
    <x:border>
      <x:right style="thin">
        <x:color rgb="FFD6E0E5"/>
      </x:right>
      <x:bottom style="thin">
        <x:color rgb="FFD6E0E5"/>
      </x:bottom>
    </x:border>
    <x:border>
      <x:left style="thin">
        <x:color rgb="FFD6E0E5"/>
      </x:left>
      <x:right style="thin">
        <x:color rgb="FFD6E0E5"/>
      </x:right>
      <x:bottom style="thin">
        <x:color rgb="FFD6E0E5"/>
      </x:bottom>
    </x:border>
    <x:border>
      <x:left style="thin">
        <x:color rgb="FFD6E0E5"/>
      </x:left>
      <x:bottom style="thin">
        <x:color rgb="FFD6E0E5"/>
      </x:bottom>
    </x:border>
    <x:border>
      <x:right style="thin">
        <x:color rgb="FFD6E0E5"/>
      </x:right>
      <x:top style="thin">
        <x:color rgb="FFD6E0E5"/>
      </x:top>
      <x:bottom style="thin">
        <x:color rgb="FFD6E0E5"/>
      </x:bottom>
    </x:border>
    <x:border>
      <x:left style="thin">
        <x:color rgb="FFD6E0E5"/>
      </x:left>
      <x:right style="thin">
        <x:color rgb="FFD6E0E5"/>
      </x:right>
      <x:top style="thin">
        <x:color rgb="FFD6E0E5"/>
      </x:top>
      <x:bottom style="thin">
        <x:color rgb="FFD6E0E5"/>
      </x:bottom>
    </x:border>
    <x:border>
      <x:left style="thin">
        <x:color rgb="FFD6E0E5"/>
      </x:left>
      <x:top style="thin">
        <x:color rgb="FFD6E0E5"/>
      </x:top>
      <x:bottom style="thin">
        <x:color rgb="FFD6E0E5"/>
      </x:bottom>
    </x:border>
    <x:border>
      <x:right style="thin">
        <x:color rgb="FFD6E0E5"/>
      </x:right>
      <x:top style="thin">
        <x:color rgb="FFD6E0E5"/>
      </x:top>
    </x:border>
    <x:border>
      <x:left style="thin">
        <x:color rgb="FFD6E0E5"/>
      </x:left>
      <x:right style="thin">
        <x:color rgb="FFD6E0E5"/>
      </x:right>
      <x:top style="thin">
        <x:color rgb="FFD6E0E5"/>
      </x:top>
    </x:border>
    <x:border>
      <x:left style="thin">
        <x:color rgb="FFD6E0E5"/>
      </x:left>
      <x:top style="thin">
        <x:color rgb="FFD6E0E5"/>
      </x:top>
    </x:border>
    <x:border>
      <x:right style="thin">
        <x:color rgb="FFE0E6EA"/>
      </x:right>
      <x:bottom style="thin">
        <x:color rgb="FFE0E6EA"/>
      </x:bottom>
    </x:border>
    <x:border>
      <x:left style="thin">
        <x:color rgb="FFE0E6EA"/>
      </x:left>
      <x:right style="thin">
        <x:color rgb="FFE0E6EA"/>
      </x:right>
      <x:bottom style="thin">
        <x:color rgb="FFE0E6EA"/>
      </x:bottom>
    </x:border>
    <x:border>
      <x:left style="thin">
        <x:color rgb="FFE0E6EA"/>
      </x:left>
      <x:bottom style="thin">
        <x:color rgb="FFE0E6EA"/>
      </x:bottom>
    </x:border>
    <x:border>
      <x:right style="thin">
        <x:color rgb="FFE0E6EA"/>
      </x:right>
      <x:top style="thin">
        <x:color rgb="FFE0E6EA"/>
      </x:top>
      <x:bottom style="thin">
        <x:color rgb="FFE0E6EA"/>
      </x:bottom>
    </x:border>
    <x:border>
      <x:left style="thin">
        <x:color rgb="FFE0E6EA"/>
      </x:left>
      <x:right style="thin">
        <x:color rgb="FFE0E6EA"/>
      </x:right>
      <x:top style="thin">
        <x:color rgb="FFE0E6EA"/>
      </x:top>
      <x:bottom style="thin">
        <x:color rgb="FFE0E6EA"/>
      </x:bottom>
    </x:border>
    <x:border>
      <x:left style="thin">
        <x:color rgb="FFE0E6EA"/>
      </x:left>
      <x:top style="thin">
        <x:color rgb="FFE0E6EA"/>
      </x:top>
      <x:bottom style="thin">
        <x:color rgb="FFE0E6EA"/>
      </x:bottom>
    </x:border>
    <x:border>
      <x:right style="thin">
        <x:color rgb="FFE0E6EA"/>
      </x:right>
      <x:top style="thin">
        <x:color rgb="FFE0E6EA"/>
      </x:top>
    </x:border>
    <x:border>
      <x:left style="thin">
        <x:color rgb="FFE0E6EA"/>
      </x:left>
      <x:right style="thin">
        <x:color rgb="FFE0E6EA"/>
      </x:right>
      <x:top style="thin">
        <x:color rgb="FFE0E6EA"/>
      </x:top>
    </x:border>
    <x:border>
      <x:left style="thin">
        <x:color rgb="FFE0E6EA"/>
      </x:left>
      <x:top style="thin">
        <x:color rgb="FFE0E6EA"/>
      </x:top>
    </x:border>
    <x:border>
      <x:left style="thin">
        <x:color rgb="FFD6E0E5"/>
      </x:left>
      <x:right style="thin">
        <x:color rgb="FF7F95A8"/>
      </x:right>
      <x:bottom style="thin">
        <x:color rgb="FFD6E0E5"/>
      </x:bottom>
    </x:border>
    <x:border>
      <x:left style="thin">
        <x:color rgb="FFD6E0E5"/>
      </x:left>
      <x:right style="thin">
        <x:color rgb="FF7F95A8"/>
      </x:right>
      <x:top style="thin">
        <x:color rgb="FFD6E0E5"/>
      </x:top>
      <x:bottom style="thin">
        <x:color rgb="FFD6E0E5"/>
      </x:bottom>
    </x:border>
    <x:border>
      <x:left style="thin">
        <x:color rgb="FFD6E0E5"/>
      </x:left>
      <x:right style="thin">
        <x:color rgb="FF7F95A8"/>
      </x:right>
      <x:top style="thin">
        <x:color rgb="FFD6E0E5"/>
      </x:top>
    </x:border>
    <x:border>
      <x:right style="thin">
        <x:color rgb="FF7F95A8"/>
      </x:right>
      <x:bottom style="thin">
        <x:color rgb="FFD6E0E5"/>
      </x:bottom>
    </x:border>
    <x:border>
      <x:left style="thin">
        <x:color rgb="FF7F95A8"/>
      </x:left>
      <x:right style="thin">
        <x:color rgb="FF7F95A8"/>
      </x:right>
      <x:bottom style="thin">
        <x:color rgb="FFD6E0E5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2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/>
    <x:xf numFmtId="201" fontId="0" fillId="0" borderId="8" xfId="0" applyNumberFormat="1" applyFont="1" applyFill="1" applyBorder="1"/>
    <x:xf numFmtId="0" fontId="0" fillId="0" borderId="24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2" fillId="3" borderId="25" xfId="0" applyNumberFormat="1" applyFont="1" applyFill="1" applyBorder="1" applyAlignment="1">
      <x:alignment vertical="top" wrapText="1"/>
    </x:xf>
    <x:xf numFmtId="0" fontId="2" fillId="3" borderId="26" xfId="0" applyNumberFormat="1" applyFont="1" applyFill="1" applyBorder="1" applyAlignment="1">
      <x:alignment vertical="top" wrapText="1"/>
    </x:xf>
    <x:xf numFmtId="0" fontId="2" fillId="3" borderId="25" xfId="0" applyNumberFormat="1" applyFont="1" applyFill="1" applyBorder="1" applyAlignment="1">
      <x:alignment vertical="center" wrapText="1"/>
    </x:xf>
    <x:xf numFmtId="0" fontId="2" fillId="3" borderId="26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276221"/>
      </x:font>
      <x:fill>
        <x:patternFill>
          <x:bgColor rgb="FFD9EAD3"/>
        </x:patternFill>
      </x:fill>
    </x:dxf>
    <x:dxf>
      <x:font>
        <x:b/>
        <x:color rgb="FF9C2C22"/>
      </x:font>
      <x:fill>
        <x:patternFill>
          <x:bgColor rgb="FFF4CCCC"/>
        </x:patternFill>
      </x:fill>
    </x:dxf>
    <x:dxf>
      <x:font>
        <x:color rgb="FF9A5B16"/>
      </x:font>
      <x:fill>
        <x:patternFill>
          <x:bgColor rgb="FFFCE5CD"/>
        </x:patternFill>
      </x:fill>
    </x:dxf>
    <x:dxf>
      <x:font>
        <x:b/>
        <x:color rgb="FF9A5B16"/>
      </x:font>
      <x:fill>
        <x:patternFill>
          <x:bgColor rgb="FFFCE5CD"/>
        </x:patternFill>
      </x:fill>
    </x:dxf>
    <x:dxf>
      <x:font>
        <x:b/>
        <x:color rgb="FF9C2C22"/>
      </x:font>
      <x:fill>
        <x:patternFill>
          <x:bgColor rgb="FFF4CCCC"/>
        </x:patternFill>
      </x:fill>
    </x:dxf>
    <x:dxf>
      <x:font>
        <x:color rgb="FF9A5B16"/>
      </x:font>
      <x:fill>
        <x:patternFill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788f0f13a40d6" /><Relationship Type="http://schemas.openxmlformats.org/officeDocument/2006/relationships/theme" Target="/xl/theme/theme1.xml" Id="Rc86e9ecbeb0c4f8b" /><Relationship Type="http://schemas.openxmlformats.org/officeDocument/2006/relationships/sharedStrings" Target="/xl/sharedStrings.xml" Id="Rff8c13243fa84fcf" /><Relationship Type="http://schemas.openxmlformats.org/officeDocument/2006/relationships/worksheet" Target="/xl/worksheets/sheet1.xml" Id="R704b898b24804a6b" /><Relationship Type="http://schemas.openxmlformats.org/officeDocument/2006/relationships/worksheet" Target="/xl/worksheets/sheet2.xml" Id="Rb6a9d9d979164af0" /><Relationship Type="http://schemas.openxmlformats.org/officeDocument/2006/relationships/worksheet" Target="/xl/worksheets/sheet3.xml" Id="Rcaa7b111141140d6" /><Relationship Type="http://schemas.openxmlformats.org/officeDocument/2006/relationships/worksheet" Target="/xl/worksheets/sheet4.xml" Id="R6b2dbdb7a68940cc" /><Relationship Type="http://schemas.openxmlformats.org/officeDocument/2006/relationships/worksheet" Target="/xl/worksheets/sheet5.xml" Id="R5f451e07b9f34268" /><Relationship Type="http://schemas.openxmlformats.org/officeDocument/2006/relationships/worksheet" Target="/xl/worksheets/sheet6.xml" Id="Rb4e2c25e431242c4" /><Relationship Type="http://schemas.openxmlformats.org/officeDocument/2006/relationships/worksheet" Target="/xl/worksheets/sheet7.xml" Id="Rfbdeb811c79942b4" /></Relationships>
</file>

<file path=xl/tables/table1.xml><?xml version="1.0" encoding="utf-8"?>
<x:table xmlns:x="http://schemas.openxmlformats.org/spreadsheetml/2006/main" id="1" name="InstructionsTable" displayName="InstructionsTable" ref="A3:D11" headerRowCount="1" totalsRowCount="0" totalsRowShown="0">
  <x:tableColumns count="4">
    <x:tableColumn id="1" name="项目"/>
    <x:tableColumn id="2" name="规则说明"/>
    <x:tableColumn id="3" name="建议操作"/>
    <x:tableColumn id="4" name="注意事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elopmentTasksTable" displayName="DevelopmentTasksTable" ref="A1:R118" headerRowCount="1" totalsRowCount="0" totalsRowShown="0">
  <x:autoFilter ref="A1:R118"/>
  <x:tableColumns count="18">
    <x:tableColumn id="1" name="任务ID"/>
    <x:tableColumn id="2" name="阶段"/>
    <x:tableColumn id="3" name="里程碑"/>
    <x:tableColumn id="4" name="工作流"/>
    <x:tableColumn id="5" name="模块"/>
    <x:tableColumn id="6" name="任务名称"/>
    <x:tableColumn id="7" name="任务说明"/>
    <x:tableColumn id="8" name="优先级"/>
    <x:tableColumn id="9" name="前置依赖"/>
    <x:tableColumn id="10" name="并行组"/>
    <x:tableColumn id="11" name="最低工时"/>
    <x:tableColumn id="12" name="最高工时"/>
    <x:tableColumn id="13" name="估算置信度"/>
    <x:tableColumn id="14" name="预算分类"/>
    <x:tableColumn id="15" name="完成定义（DoD）"/>
    <x:tableColumn id="16" name="状态"/>
    <x:tableColumn id="17" name="实际工时"/>
    <x:tableColumn id="1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lestonesTable" displayName="MilestonesTable" ref="A1:G10" headerRowCount="1" totalsRowCount="0" totalsRowShown="0">
  <x:tableColumns count="7">
    <x:tableColumn id="1" name="阶段"/>
    <x:tableColumn id="2" name="里程碑"/>
    <x:tableColumn id="3" name="任务数"/>
    <x:tableColumn id="4" name="最低工时"/>
    <x:tableColumn id="5" name="最高工时"/>
    <x:tableColumn id="6" name="阶段验收任务"/>
    <x:tableColumn id="7" name="通过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flowsTable" displayName="WorkflowsTable" ref="A1:F13" headerRowCount="1" totalsRowCount="0" totalsRowShown="0">
  <x:tableColumns count="6">
    <x:tableColumn id="1" name="工作流"/>
    <x:tableColumn id="2" name="任务数"/>
    <x:tableColumn id="3" name="最低工时"/>
    <x:tableColumn id="4" name="最高工时"/>
    <x:tableColumn id="5" name="预算分类"/>
    <x:tableColumn id="6" name="并行安排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mmaryTable" displayName="SummaryTable" ref="A3:F10" headerRowCount="1" totalsRowCount="0" totalsRowShown="0">
  <x:tableColumns count="6">
    <x:tableColumn id="1" name="指标"/>
    <x:tableColumn id="2" name="数量/最低"/>
    <x:tableColumn id="3" name="最高"/>
    <x:tableColumn id="4" name="说明"/>
    <x:tableColumn id="5" name="校验状态"/>
    <x:tableColumn id="6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sksTable" displayName="RisksTable" ref="A1:H11" headerRowCount="1" totalsRowCount="0" totalsRowShown="0">
  <x:tableColumns count="8">
    <x:tableColumn id="1" name="风险ID"/>
    <x:tableColumn id="2" name="风险"/>
    <x:tableColumn id="3" name="概率"/>
    <x:tableColumn id="4" name="影响"/>
    <x:tableColumn id="5" name="评分"/>
    <x:tableColumn id="6" name="策略"/>
    <x:tableColumn id="7" name="应对措施"/>
    <x:tableColumn id="8" name="检查节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rtStagesTable" displayName="ArtStagesTable" ref="A4:F7" headerRowCount="1" totalsRowCount="0" totalsRowShown="0">
  <x:tableColumns count="6">
    <x:tableColumn id="1" name="并行阶段"/>
    <x:tableColumn id="2" name="主要目标"/>
    <x:tableColumn id="3" name="是否依赖主工程"/>
    <x:tableColumn id="4" name="主要交付物"/>
    <x:tableColumn id="5" name="验收门"/>
    <x:tableColumn id="6" name="进入下一阶段条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rtWorkflowsTable" displayName="ArtWorkflowsTable" ref="A9:F16" headerRowCount="1" totalsRowCount="0" totalsRowShown="0">
  <x:tableColumns count="6">
    <x:tableColumn id="1" name="工作流"/>
    <x:tableColumn id="2" name="任务数"/>
    <x:tableColumn id="3" name="最低工时"/>
    <x:tableColumn id="4" name="最高工时"/>
    <x:tableColumn id="5" name="主要并行组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75cd09d9a643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6faef1b2314a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470bfbf5ff4b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7e7d28f0844d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5be9d9546ce41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d67a03ed9848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a34fa4942004797" /><Relationship Type="http://schemas.openxmlformats.org/officeDocument/2006/relationships/table" Target="/xl/tables/table8.xml" Id="R9c8604148dfc48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30" hidden="0" customWidth="1"/>
    <x:col min="4" max="4" width="36" hidden="0" customWidth="1"/>
  </x:cols>
  <x:sheetData>
    <x:row r="1">
      <x:c r="A1" s="3" t="str">
        <x:v>GameDesinger First Playable 开发任务表使用说明</x:v>
      </x:c>
      <x:c r="B1" s="3"/>
      <x:c r="C1" s="3"/>
      <x:c r="D1" s="3"/>
    </x:row>
    <x:row r="2">
      <x:c r="A2" t="str">
        <x:v>用于安排旧业务清理、新业务重建和First Playable验证；不替代GameDesign、OpenSpec或可执行测试用例。</x:v>
      </x:c>
    </x:row>
    <x:row r="3" ht="15" hidden="0" customHeight="1">
      <x:c r="A3" s="12" t="str">
        <x:v>项目</x:v>
      </x:c>
      <x:c r="B3" s="13" t="str">
        <x:v>规则说明</x:v>
      </x:c>
      <x:c r="C3" s="13" t="str">
        <x:v>建议操作</x:v>
      </x:c>
      <x:c r="D3" s="14" t="str">
        <x:v>注意事项</x:v>
      </x:c>
    </x:row>
    <x:row r="4" ht="171.60000610351562" hidden="0" customHeight="1">
      <x:c r="A4" s="33" t="str">
        <x:v>技术基线</x:v>
      </x:c>
      <x:c r="B4" s="34" t="str">
        <x:v>当前项目：D:\unity\UnityProject\GameDesinger；Unity 2022.3.62f3；保留GF_X/Launch/OasisCity/交互物和已确认美术。</x:v>
      </x:c>
      <x:c r="C4" s="34" t="str">
        <x:v>按任务ID推进</x:v>
      </x:c>
      <x:c r="D4" s="35" t="str">
        <x:v>产品业务不得写入ScriptsBuiltin</x:v>
      </x:c>
    </x:row>
    <x:row r="5" ht="118.80000305175781" hidden="0" customHeight="1">
      <x:c r="A5" s="36" t="str">
        <x:v>重建原则</x:v>
      </x:c>
      <x:c r="B5" s="37" t="str">
        <x:v>新骨架先行、分域切换、零引用后删除；旧业务代码和业务数据不视为可靠基线。</x:v>
      </x:c>
      <x:c r="C5" s="37" t="str">
        <x:v>先完成G0/G1</x:v>
      </x:c>
      <x:c r="D5" s="38" t="str">
        <x:v>禁止先批量删除再修编译</x:v>
      </x:c>
    </x:row>
    <x:row r="6" ht="105.5999984741211" hidden="0" customHeight="1">
      <x:c r="A6" s="36" t="str">
        <x:v>任务表所有权</x:v>
      </x:c>
      <x:c r="B6" s="37" t="str">
        <x:v>本次初始创建后只允许用户本人修改；AI只有只读分析和建议权限。</x:v>
      </x:c>
      <x:c r="C6" s="37" t="str">
        <x:v>用户维护状态/工时/备注</x:v>
      </x:c>
      <x:c r="D6" s="38" t="str">
        <x:v>不得覆盖、另存替换或自动回写</x:v>
      </x:c>
    </x:row>
    <x:row r="7" ht="92.4000015258789" hidden="0" customHeight="1">
      <x:c r="A7" s="36" t="str">
        <x:v>开始任务</x:v>
      </x:c>
      <x:c r="B7" s="37" t="str">
        <x:v>确认所有前置依赖已完成；规则空缺先回到GameDesign讨论。</x:v>
      </x:c>
      <x:c r="C7" s="37" t="str">
        <x:v>2～5项内聚任务组成OpenSpec</x:v>
      </x:c>
      <x:c r="D7" s="38" t="str">
        <x:v>不得跨阶段验收门</x:v>
      </x:c>
    </x:row>
    <x:row r="8" ht="92.4000015258789" hidden="0" customHeight="1">
      <x:c r="A8" s="36" t="str">
        <x:v>状态口径</x:v>
      </x:c>
      <x:c r="B8" s="37" t="str">
        <x:v>旧业务重建与清理为未开始；Assets/Game 中现存美术均已确认导入，缺失资源按尚未制作处理。</x:v>
      </x:c>
      <x:c r="C8" s="37" t="str">
        <x:v>DoD后改为待验收</x:v>
      </x:c>
      <x:c r="D8" s="38" t="str">
        <x:v>执行者不能自行标记已完成</x:v>
      </x:c>
    </x:row>
    <x:row r="9" ht="105.5999984741211" hidden="0" customHeight="1">
      <x:c r="A9" s="36" t="str">
        <x:v>工时规则</x:v>
      </x:c>
      <x:c r="B9" s="37" t="str">
        <x:v>程序按每周20小时折算，美术单独统计；单项最高不超过18小时。</x:v>
      </x:c>
      <x:c r="C9" s="37" t="str">
        <x:v>超限任务先拆分</x:v>
      </x:c>
      <x:c r="D9" s="38" t="str">
        <x:v>估算不是截止日期</x:v>
      </x:c>
    </x:row>
    <x:row r="10" ht="105.5999984741211" hidden="0" customHeight="1">
      <x:c r="A10" s="36" t="str">
        <x:v>美术并行</x:v>
      </x:c>
      <x:c r="B10" s="37" t="str">
        <x:v>Assets/Game 中现存美术均已确认；UI按 FirstPlayable 现有资源核对覆盖，正式角色尚未制作。</x:v>
      </x:c>
      <x:c r="C10" s="37" t="str">
        <x:v>按ART路线推进</x:v>
      </x:c>
      <x:c r="D10" s="38" t="str">
        <x:v>G5最终等待ART-G2</x:v>
      </x:c>
    </x:row>
    <x:row r="11" ht="118.80000305175781" hidden="0" customHeight="1">
      <x:c r="A11" s="39" t="str">
        <x:v>测试边界</x:v>
      </x:c>
      <x:c r="B11" s="40" t="str">
        <x:v>DoD和阶段门不替代测试用例；测试在任务进入OpenSpec后按最新规格建立。</x:v>
      </x:c>
      <x:c r="C11" s="40" t="str">
        <x:v>保存结构化证据</x:v>
      </x:c>
      <x:c r="D11" s="41" t="str">
        <x:v>Bot稳定性不能替代真人试玩</x:v>
      </x:c>
    </x:row>
    <x:row r="12"/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e75cd09d9a6434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20" hidden="0" customWidth="1"/>
    <x:col min="5" max="5" width="16" hidden="0" customWidth="1"/>
    <x:col min="6" max="6" width="30" hidden="0" customWidth="1"/>
    <x:col min="7" max="7" width="56" hidden="0" customWidth="1"/>
    <x:col min="8" max="8" width="9" hidden="0" customWidth="1"/>
    <x:col min="9" max="9" width="30" hidden="0" customWidth="1"/>
    <x:col min="10" max="10" width="12" hidden="0" customWidth="1"/>
    <x:col min="11" max="11" width="10" hidden="0" customWidth="1"/>
    <x:col min="12" max="12" width="10" hidden="0" customWidth="1"/>
    <x:col min="13" max="13" width="12" hidden="0" customWidth="1"/>
    <x:col min="14" max="14" width="14" hidden="0" customWidth="1"/>
    <x:col min="15" max="15" width="60" hidden="0" customWidth="1"/>
    <x:col min="16" max="16" width="12" hidden="0" customWidth="1"/>
    <x:col min="17" max="17" width="10" hidden="0" customWidth="1"/>
    <x:col min="18" max="18" width="30" hidden="0" customWidth="1"/>
  </x:cols>
  <x:sheetData>
    <x:row r="1" ht="34" customHeight="1">
      <x:c r="A1" s="12" t="str">
        <x:v>任务ID</x:v>
      </x:c>
      <x:c r="B1" s="13" t="str">
        <x:v>阶段</x:v>
      </x:c>
      <x:c r="C1" s="13" t="str">
        <x:v>里程碑</x:v>
      </x:c>
      <x:c r="D1" s="13" t="str">
        <x:v>工作流</x:v>
      </x:c>
      <x:c r="E1" s="13" t="str">
        <x:v>模块</x:v>
      </x:c>
      <x:c r="F1" s="13" t="str">
        <x:v>任务名称</x:v>
      </x:c>
      <x:c r="G1" s="13" t="str">
        <x:v>任务说明</x:v>
      </x:c>
      <x:c r="H1" s="13" t="str">
        <x:v>优先级</x:v>
      </x:c>
      <x:c r="I1" s="13" t="str">
        <x:v>前置依赖</x:v>
      </x:c>
      <x:c r="J1" s="13" t="str">
        <x:v>并行组</x:v>
      </x:c>
      <x:c r="K1" s="13" t="str">
        <x:v>最低工时</x:v>
      </x:c>
      <x:c r="L1" s="13" t="str">
        <x:v>最高工时</x:v>
      </x:c>
      <x:c r="M1" s="13" t="str">
        <x:v>估算置信度</x:v>
      </x:c>
      <x:c r="N1" s="13" t="str">
        <x:v>预算分类</x:v>
      </x:c>
      <x:c r="O1" s="13" t="str">
        <x:v>完成定义（DoD）</x:v>
      </x:c>
      <x:c r="P1" s="13" t="str">
        <x:v>状态</x:v>
      </x:c>
      <x:c r="Q1" s="13" t="str">
        <x:v>实际工时</x:v>
      </x:c>
      <x:c r="R1" s="14" t="str">
        <x:v>备注</x:v>
      </x:c>
    </x:row>
    <x:row r="2" ht="42" customHeight="1">
      <x:c r="A2" s="60" t="str">
        <x:v>P0-001</x:v>
      </x:c>
      <x:c r="B2" s="61" t="str">
        <x:v>阶段0 现状收容</x:v>
      </x:c>
      <x:c r="C2" s="61" t="str">
        <x:v>G0 可控重建基线</x:v>
      </x:c>
      <x:c r="D2" s="61" t="str">
        <x:v>配置与内容</x:v>
      </x:c>
      <x:c r="E2" s="61" t="str">
        <x:v>范围管理</x:v>
      </x:c>
      <x:c r="F2" s="61" t="str">
        <x:v>冻结First Playable开发边界</x:v>
      </x:c>
      <x:c r="G2" s="61" t="str">
        <x:v>登记当前版本必须包含、明确排除、唯一策划源和保留资产。</x:v>
      </x:c>
      <x:c r="H2" s="61" t="str">
        <x:v>P0</x:v>
      </x:c>
      <x:c r="I2" s="61" t="str">
        <x:v>无</x:v>
      </x:c>
      <x:c r="J2" s="61" t="str">
        <x:v>A0</x:v>
      </x:c>
      <x:c r="K2" s="69" t="n">
        <x:v>2</x:v>
      </x:c>
      <x:c r="L2" s="69" t="n">
        <x:v>4</x:v>
      </x:c>
      <x:c r="M2" s="61" t="str">
        <x:v>高</x:v>
      </x:c>
      <x:c r="N2" s="61" t="str">
        <x:v>程序预算</x:v>
      </x:c>
      <x:c r="O2" s="61" t="str">
        <x:v>开发入口可定位权威策划，Enemy/PVE/Boss/后端/多武器不会进入本计划。</x:v>
      </x:c>
      <x:c r="P2" s="61" t="str">
        <x:v>待复验</x:v>
      </x:c>
      <x:c r="Q2" s="72"/>
      <x:c r="R2" s="62" t="str"/>
    </x:row>
    <x:row r="3" ht="42" customHeight="1">
      <x:c r="A3" s="63" t="str">
        <x:v>P0-002</x:v>
      </x:c>
      <x:c r="B3" s="64" t="str">
        <x:v>阶段0 现状收容</x:v>
      </x:c>
      <x:c r="C3" s="64" t="str">
        <x:v>G0 可控重建基线</x:v>
      </x:c>
      <x:c r="D3" s="64" t="str">
        <x:v>客户端程序</x:v>
      </x:c>
      <x:c r="E3" s="64" t="str">
        <x:v>保留基线</x:v>
      </x:c>
      <x:c r="F3" s="64" t="str">
        <x:v>复验GF_X与Launch边界</x:v>
      </x:c>
      <x:c r="G3" s="64" t="str">
        <x:v>确认ScriptsBuiltin、Launch、Procedure、输入抽象和通用诊断的保留合同。</x:v>
      </x:c>
      <x:c r="H3" s="64" t="str">
        <x:v>P0</x:v>
      </x:c>
      <x:c r="I3" s="64" t="str">
        <x:v>P0-001</x:v>
      </x:c>
      <x:c r="J3" s="64" t="str">
        <x:v>A0</x:v>
      </x:c>
      <x:c r="K3" s="70" t="n">
        <x:v>4</x:v>
      </x:c>
      <x:c r="L3" s="70" t="n">
        <x:v>8</x:v>
      </x:c>
      <x:c r="M3" s="64" t="str">
        <x:v>高</x:v>
      </x:c>
      <x:c r="N3" s="64" t="str">
        <x:v>程序预算</x:v>
      </x:c>
      <x:c r="O3" s="64" t="str">
        <x:v>框架核心无产品业务新增，Launch可进入当前业务场景且有可重复健康检查。</x:v>
      </x:c>
      <x:c r="P3" s="64" t="str">
        <x:v>待复验</x:v>
      </x:c>
      <x:c r="Q3" s="73"/>
      <x:c r="R3" s="65" t="str"/>
    </x:row>
    <x:row r="4" ht="42" customHeight="1">
      <x:c r="A4" s="63" t="str">
        <x:v>P0-003</x:v>
      </x:c>
      <x:c r="B4" s="64" t="str">
        <x:v>阶段0 现状收容</x:v>
      </x:c>
      <x:c r="C4" s="64" t="str">
        <x:v>G0 可控重建基线</x:v>
      </x:c>
      <x:c r="D4" s="64" t="str">
        <x:v>配置与内容</x:v>
      </x:c>
      <x:c r="E4" s="64" t="str">
        <x:v>资产审计</x:v>
      </x:c>
      <x:c r="F4" s="64" t="str">
        <x:v>建立场景与交互物保留清单</x:v>
      </x:c>
      <x:c r="G4" s="64" t="str">
        <x:v>登记OasisCity、12个交互物、纹身、现有UI/VFX的路径、GUID、Prefab接口与状态；正式角色登记为未制作。</x:v>
      </x:c>
      <x:c r="H4" s="64" t="str">
        <x:v>P0</x:v>
      </x:c>
      <x:c r="I4" s="64" t="str">
        <x:v>P0-001</x:v>
      </x:c>
      <x:c r="J4" s="64" t="str">
        <x:v>A0</x:v>
      </x:c>
      <x:c r="K4" s="70" t="n">
        <x:v>6</x:v>
      </x:c>
      <x:c r="L4" s="70" t="n">
        <x:v>10</x:v>
      </x:c>
      <x:c r="M4" s="64" t="str">
        <x:v>高</x:v>
      </x:c>
      <x:c r="N4" s="64" t="str">
        <x:v>美术资源预算</x:v>
      </x:c>
      <x:c r="O4" s="64" t="str">
        <x:v>每项保留资产都有唯一来源、当前路径、接口和复验结论。</x:v>
      </x:c>
      <x:c r="P4" s="64" t="str">
        <x:v>待复验</x:v>
      </x:c>
      <x:c r="Q4" s="73"/>
      <x:c r="R4" s="65" t="str"/>
    </x:row>
    <x:row r="5" ht="42" customHeight="1">
      <x:c r="A5" s="63" t="str">
        <x:v>P0-004</x:v>
      </x:c>
      <x:c r="B5" s="64" t="str">
        <x:v>阶段0 现状收容</x:v>
      </x:c>
      <x:c r="C5" s="64" t="str">
        <x:v>G0 可控重建基线</x:v>
      </x:c>
      <x:c r="D5" s="64" t="str">
        <x:v>客户端程序</x:v>
      </x:c>
      <x:c r="E5" s="64" t="str">
        <x:v>旧业务审计</x:v>
      </x:c>
      <x:c r="F5" s="64" t="str">
        <x:v>盘点现有业务服务与调用图</x:v>
      </x:c>
      <x:c r="G5" s="64" t="str">
        <x:v>按领域登记Runtime、UI、Procedure、Editor诊断和测试的入口及引用关系。</x:v>
      </x:c>
      <x:c r="H5" s="64" t="str">
        <x:v>P0</x:v>
      </x:c>
      <x:c r="I5" s="64" t="str">
        <x:v>P0-001</x:v>
      </x:c>
      <x:c r="J5" s="64" t="str">
        <x:v>A0</x:v>
      </x:c>
      <x:c r="K5" s="70" t="n">
        <x:v>8</x:v>
      </x:c>
      <x:c r="L5" s="70" t="n">
        <x:v>14</x:v>
      </x:c>
      <x:c r="M5" s="64" t="str">
        <x:v>中</x:v>
      </x:c>
      <x:c r="N5" s="64" t="str">
        <x:v>程序预算</x:v>
      </x:c>
      <x:c r="O5" s="64" t="str">
        <x:v>每个旧业务类型被标记为保留基础、迁移参考、待替换或待删除。</x:v>
      </x:c>
      <x:c r="P5" s="64" t="str">
        <x:v>未开始</x:v>
      </x:c>
      <x:c r="Q5" s="73"/>
      <x:c r="R5" s="65" t="str"/>
    </x:row>
    <x:row r="6" ht="42" customHeight="1">
      <x:c r="A6" s="63" t="str">
        <x:v>P0-005</x:v>
      </x:c>
      <x:c r="B6" s="64" t="str">
        <x:v>阶段0 现状收容</x:v>
      </x:c>
      <x:c r="C6" s="64" t="str">
        <x:v>G0 可控重建基线</x:v>
      </x:c>
      <x:c r="D6" s="64" t="str">
        <x:v>配置与内容</x:v>
      </x:c>
      <x:c r="E6" s="64" t="str">
        <x:v>旧数据审计</x:v>
      </x:c>
      <x:c r="F6" s="64" t="str">
        <x:v>盘点业务DataTable与Catalog</x:v>
      </x:c>
      <x:c r="G6" s="64" t="str">
        <x:v>审计Excel、txt、JSON、Gameplay Catalog和Runtime Asset Catalog的字段与消费者。</x:v>
      </x:c>
      <x:c r="H6" s="64" t="str">
        <x:v>P0</x:v>
      </x:c>
      <x:c r="I6" s="64" t="str">
        <x:v>P0-001</x:v>
      </x:c>
      <x:c r="J6" s="64" t="str">
        <x:v>A0</x:v>
      </x:c>
      <x:c r="K6" s="70" t="n">
        <x:v>8</x:v>
      </x:c>
      <x:c r="L6" s="70" t="n">
        <x:v>14</x:v>
      </x:c>
      <x:c r="M6" s="64" t="str">
        <x:v>中</x:v>
      </x:c>
      <x:c r="N6" s="64" t="str">
        <x:v>程序预算</x:v>
      </x:c>
      <x:c r="O6" s="64" t="str">
        <x:v>旧表和旧资源键均有消费者、替代任务及删除门，不存在未知数据源。</x:v>
      </x:c>
      <x:c r="P6" s="64" t="str">
        <x:v>未开始</x:v>
      </x:c>
      <x:c r="Q6" s="73"/>
      <x:c r="R6" s="65" t="str"/>
    </x:row>
    <x:row r="7" ht="42" customHeight="1">
      <x:c r="A7" s="63" t="str">
        <x:v>P0-006</x:v>
      </x:c>
      <x:c r="B7" s="64" t="str">
        <x:v>阶段0 现状收容</x:v>
      </x:c>
      <x:c r="C7" s="64" t="str">
        <x:v>G0 可控重建基线</x:v>
      </x:c>
      <x:c r="D7" s="64" t="str">
        <x:v>UI与交互</x:v>
      </x:c>
      <x:c r="E7" s="64" t="str">
        <x:v>旧UI审计</x:v>
      </x:c>
      <x:c r="F7" s="64" t="str">
        <x:v>盘点UI Prefab与Presenter</x:v>
      </x:c>
      <x:c r="G7" s="64" t="str">
        <x:v>对照新信息架构登记主菜单、HUD、构筑、情报、请求、观战、暂停和结果页面差距。</x:v>
      </x:c>
      <x:c r="H7" s="64" t="str">
        <x:v>P0</x:v>
      </x:c>
      <x:c r="I7" s="64" t="str">
        <x:v>P0-001</x:v>
      </x:c>
      <x:c r="J7" s="64" t="str">
        <x:v>A0</x:v>
      </x:c>
      <x:c r="K7" s="70" t="n">
        <x:v>6</x:v>
      </x:c>
      <x:c r="L7" s="70" t="n">
        <x:v>12</x:v>
      </x:c>
      <x:c r="M7" s="64" t="str">
        <x:v>中</x:v>
      </x:c>
      <x:c r="N7" s="64" t="str">
        <x:v>程序预算</x:v>
      </x:c>
      <x:c r="O7" s="64" t="str">
        <x:v>每个页面和资源明确为保留壳体、返工、替换、删除或缺失。</x:v>
      </x:c>
      <x:c r="P7" s="64" t="str">
        <x:v>未开始</x:v>
      </x:c>
      <x:c r="Q7" s="73"/>
      <x:c r="R7" s="65" t="str"/>
    </x:row>
    <x:row r="8" ht="42" customHeight="1">
      <x:c r="A8" s="63" t="str">
        <x:v>P0-007</x:v>
      </x:c>
      <x:c r="B8" s="64" t="str">
        <x:v>阶段0 现状收容</x:v>
      </x:c>
      <x:c r="C8" s="64" t="str">
        <x:v>G0 可控重建基线</x:v>
      </x:c>
      <x:c r="D8" s="64" t="str">
        <x:v>集成与阶段验收</x:v>
      </x:c>
      <x:c r="E8" s="64" t="str">
        <x:v>测试审计</x:v>
      </x:c>
      <x:c r="F8" s="64" t="str">
        <x:v>盘点旧测试、诊断与OpenSpec证据</x:v>
      </x:c>
      <x:c r="G8" s="64" t="str">
        <x:v>区分可复用夹具、旧规则断言、历史证据和必须重写的验证入口。</x:v>
      </x:c>
      <x:c r="H8" s="64" t="str">
        <x:v>P0</x:v>
      </x:c>
      <x:c r="I8" s="64" t="str">
        <x:v>P0-004,P0-005</x:v>
      </x:c>
      <x:c r="J8" s="64" t="str">
        <x:v>A0</x:v>
      </x:c>
      <x:c r="K8" s="70" t="n">
        <x:v>6</x:v>
      </x:c>
      <x:c r="L8" s="70" t="n">
        <x:v>10</x:v>
      </x:c>
      <x:c r="M8" s="64" t="str">
        <x:v>中</x:v>
      </x:c>
      <x:c r="N8" s="64" t="str">
        <x:v>程序预算</x:v>
      </x:c>
      <x:c r="O8" s="64" t="str">
        <x:v>所有旧验证项都有保留、替换或删除结论，历史通过不被误当作新规则通过。</x:v>
      </x:c>
      <x:c r="P8" s="64" t="str">
        <x:v>未开始</x:v>
      </x:c>
      <x:c r="Q8" s="73"/>
      <x:c r="R8" s="65" t="str"/>
    </x:row>
    <x:row r="9" ht="42" customHeight="1">
      <x:c r="A9" s="63" t="str">
        <x:v>P0-008</x:v>
      </x:c>
      <x:c r="B9" s="64" t="str">
        <x:v>阶段0 现状收容</x:v>
      </x:c>
      <x:c r="C9" s="64" t="str">
        <x:v>G0 可控重建基线</x:v>
      </x:c>
      <x:c r="D9" s="64" t="str">
        <x:v>客户端程序</x:v>
      </x:c>
      <x:c r="E9" s="64" t="str">
        <x:v>工程骨架</x:v>
      </x:c>
      <x:c r="F9" s="64" t="str">
        <x:v>建立新业务模块与程序集边界</x:v>
      </x:c>
      <x:c r="G9" s="64" t="str">
        <x:v>确定Domain、Runtime、UI、Data、Tests之间的依赖方向，不改ScriptsBuiltin。</x:v>
      </x:c>
      <x:c r="H9" s="64" t="str">
        <x:v>P0</x:v>
      </x:c>
      <x:c r="I9" s="64" t="str">
        <x:v>P0-002,P0-004</x:v>
      </x:c>
      <x:c r="J9" s="64" t="str">
        <x:v>A0</x:v>
      </x:c>
      <x:c r="K9" s="70" t="n">
        <x:v>8</x:v>
      </x:c>
      <x:c r="L9" s="70" t="n">
        <x:v>14</x:v>
      </x:c>
      <x:c r="M9" s="64" t="str">
        <x:v>中</x:v>
      </x:c>
      <x:c r="N9" s="64" t="str">
        <x:v>程序预算</x:v>
      </x:c>
      <x:c r="O9" s="64" t="str">
        <x:v>新代码落点和依赖边界可编译，旧服务不能反向污染新Domain。</x:v>
      </x:c>
      <x:c r="P9" s="64" t="str">
        <x:v>未开始</x:v>
      </x:c>
      <x:c r="Q9" s="73"/>
      <x:c r="R9" s="65" t="str"/>
    </x:row>
    <x:row r="10" ht="42" customHeight="1">
      <x:c r="A10" s="63" t="str">
        <x:v>P0-009</x:v>
      </x:c>
      <x:c r="B10" s="64" t="str">
        <x:v>阶段0 现状收容</x:v>
      </x:c>
      <x:c r="C10" s="64" t="str">
        <x:v>G0 可控重建基线</x:v>
      </x:c>
      <x:c r="D10" s="64" t="str">
        <x:v>客户端程序</x:v>
      </x:c>
      <x:c r="E10" s="64" t="str">
        <x:v>清理安全</x:v>
      </x:c>
      <x:c r="F10" s="64" t="str">
        <x:v>建立零引用与Missing Script检查</x:v>
      </x:c>
      <x:c r="G10" s="64" t="str">
        <x:v>为代码、Prefab、Scene、表、Catalog和测试建立删除前检查入口。</x:v>
      </x:c>
      <x:c r="H10" s="64" t="str">
        <x:v>P0</x:v>
      </x:c>
      <x:c r="I10" s="64" t="str">
        <x:v>P0-004,P0-005,P0-006</x:v>
      </x:c>
      <x:c r="J10" s="64" t="str">
        <x:v>A0</x:v>
      </x:c>
      <x:c r="K10" s="70" t="n">
        <x:v>8</x:v>
      </x:c>
      <x:c r="L10" s="70" t="n">
        <x:v>14</x:v>
      </x:c>
      <x:c r="M10" s="64" t="str">
        <x:v>中</x:v>
      </x:c>
      <x:c r="N10" s="64" t="str">
        <x:v>程序预算</x:v>
      </x:c>
      <x:c r="O10" s="64" t="str">
        <x:v>删除候选可自动报告引用；Prefab和Scene Missing Script能够阻塞阶段门。</x:v>
      </x:c>
      <x:c r="P10" s="64" t="str">
        <x:v>未开始</x:v>
      </x:c>
      <x:c r="Q10" s="73"/>
      <x:c r="R10" s="65" t="str"/>
    </x:row>
    <x:row r="11" ht="42" customHeight="1">
      <x:c r="A11" s="63" t="str">
        <x:v>P0-010</x:v>
      </x:c>
      <x:c r="B11" s="64" t="str">
        <x:v>阶段0 现状收容</x:v>
      </x:c>
      <x:c r="C11" s="64" t="str">
        <x:v>G0 可控重建基线</x:v>
      </x:c>
      <x:c r="D11" s="64" t="str">
        <x:v>集成与阶段验收</x:v>
      </x:c>
      <x:c r="E11" s="64" t="str">
        <x:v>回滚证据</x:v>
      </x:c>
      <x:c r="F11" s="64" t="str">
        <x:v>建立重建前可复现基线</x:v>
      </x:c>
      <x:c r="G11" s="64" t="str">
        <x:v>记录编译、EditMode、PlayMode、诊断、关键场景和配置快照，保护用户现有修改。</x:v>
      </x:c>
      <x:c r="H11" s="64" t="str">
        <x:v>P0</x:v>
      </x:c>
      <x:c r="I11" s="64" t="str">
        <x:v>P0-002,P0-003,P0-007</x:v>
      </x:c>
      <x:c r="J11" s="64" t="str">
        <x:v>A0</x:v>
      </x:c>
      <x:c r="K11" s="70" t="n">
        <x:v>6</x:v>
      </x:c>
      <x:c r="L11" s="70" t="n">
        <x:v>10</x:v>
      </x:c>
      <x:c r="M11" s="64" t="str">
        <x:v>高</x:v>
      </x:c>
      <x:c r="N11" s="64" t="str">
        <x:v>程序预算</x:v>
      </x:c>
      <x:c r="O11" s="64" t="str">
        <x:v>每类重建可比较前后结果，失败时不依赖破坏性Git操作恢复。</x:v>
      </x:c>
      <x:c r="P11" s="64" t="str">
        <x:v>未开始</x:v>
      </x:c>
      <x:c r="Q11" s="73"/>
      <x:c r="R11" s="65" t="str"/>
    </x:row>
    <x:row r="12" ht="42" customHeight="1">
      <x:c r="A12" s="63" t="str">
        <x:v>P0-011</x:v>
      </x:c>
      <x:c r="B12" s="64" t="str">
        <x:v>阶段0 现状收容</x:v>
      </x:c>
      <x:c r="C12" s="64" t="str">
        <x:v>G0 可控重建基线</x:v>
      </x:c>
      <x:c r="D12" s="64" t="str">
        <x:v>配置与内容</x:v>
      </x:c>
      <x:c r="E12" s="64" t="str">
        <x:v>清理台账</x:v>
      </x:c>
      <x:c r="F12" s="64" t="str">
        <x:v>形成分域替换与删除清单</x:v>
      </x:c>
      <x:c r="G12" s="64" t="str">
        <x:v>把旧业务、旧表、旧UI、旧测试和资源键映射到后续任务ID。</x:v>
      </x:c>
      <x:c r="H12" s="64" t="str">
        <x:v>P0</x:v>
      </x:c>
      <x:c r="I12" s="64" t="str">
        <x:v>P0-004,P0-005,P0-006,P0-007</x:v>
      </x:c>
      <x:c r="J12" s="64" t="str">
        <x:v>A0</x:v>
      </x:c>
      <x:c r="K12" s="70" t="n">
        <x:v>6</x:v>
      </x:c>
      <x:c r="L12" s="70" t="n">
        <x:v>10</x:v>
      </x:c>
      <x:c r="M12" s="64" t="str">
        <x:v>高</x:v>
      </x:c>
      <x:c r="N12" s="64" t="str">
        <x:v>程序预算</x:v>
      </x:c>
      <x:c r="O12" s="64" t="str">
        <x:v>没有替代入口和回归任务的内容不得进入删除队列。</x:v>
      </x:c>
      <x:c r="P12" s="64" t="str">
        <x:v>未开始</x:v>
      </x:c>
      <x:c r="Q12" s="73"/>
      <x:c r="R12" s="65" t="str"/>
    </x:row>
    <x:row r="13" ht="42" customHeight="1">
      <x:c r="A13" s="63" t="str">
        <x:v>P0-012</x:v>
      </x:c>
      <x:c r="B13" s="64" t="str">
        <x:v>阶段0 现状收容</x:v>
      </x:c>
      <x:c r="C13" s="64" t="str">
        <x:v>G0 可控重建基线</x:v>
      </x:c>
      <x:c r="D13" s="64" t="str">
        <x:v>集成与阶段验收</x:v>
      </x:c>
      <x:c r="E13" s="64" t="str">
        <x:v>基线健康</x:v>
      </x:c>
      <x:c r="F13" s="64" t="str">
        <x:v>执行保留资产健康检查</x:v>
      </x:c>
      <x:c r="G13" s="64" t="str">
        <x:v>验证OasisCity、交互物Prefab、核心材质Shader、Launch和框架诊断。</x:v>
      </x:c>
      <x:c r="H13" s="64" t="str">
        <x:v>P0</x:v>
      </x:c>
      <x:c r="I13" s="64" t="str">
        <x:v>P0-003,P0-009,P0-010</x:v>
      </x:c>
      <x:c r="J13" s="64" t="str">
        <x:v>A0</x:v>
      </x:c>
      <x:c r="K13" s="70" t="n">
        <x:v>6</x:v>
      </x:c>
      <x:c r="L13" s="70" t="n">
        <x:v>12</x:v>
      </x:c>
      <x:c r="M13" s="64" t="str">
        <x:v>中</x:v>
      </x:c>
      <x:c r="N13" s="64" t="str">
        <x:v>程序预算</x:v>
      </x:c>
      <x:c r="O13" s="64" t="str">
        <x:v>保留资产可加载且无新增Missing引用；失败项进入明确返工任务。</x:v>
      </x:c>
      <x:c r="P13" s="64" t="str">
        <x:v>未开始</x:v>
      </x:c>
      <x:c r="Q13" s="73"/>
      <x:c r="R13" s="65" t="str"/>
    </x:row>
    <x:row r="14" ht="42" customHeight="1">
      <x:c r="A14" s="63" t="str">
        <x:v>G0-001</x:v>
      </x:c>
      <x:c r="B14" s="64" t="str">
        <x:v>阶段0 现状收容</x:v>
      </x:c>
      <x:c r="C14" s="64" t="str">
        <x:v>G0 可控重建基线</x:v>
      </x:c>
      <x:c r="D14" s="64" t="str">
        <x:v>集成与阶段验收</x:v>
      </x:c>
      <x:c r="E14" s="64" t="str">
        <x:v>阶段验收</x:v>
      </x:c>
      <x:c r="F14" s="64" t="str">
        <x:v>可控重建基线验收</x:v>
      </x:c>
      <x:c r="G14" s="64" t="str">
        <x:v>审核保留、替换、删除、回滚和新工程骨架是否完整。</x:v>
      </x:c>
      <x:c r="H14" s="64" t="str">
        <x:v>P0</x:v>
      </x:c>
      <x:c r="I14" s="64" t="str">
        <x:v>P0-008,P0-009,P0-010,P0-011,P0-012</x:v>
      </x:c>
      <x:c r="J14" s="64" t="str">
        <x:v>G0</x:v>
      </x:c>
      <x:c r="K14" s="70" t="n">
        <x:v>6</x:v>
      </x:c>
      <x:c r="L14" s="70" t="n">
        <x:v>10</x:v>
      </x:c>
      <x:c r="M14" s="64" t="str">
        <x:v>高</x:v>
      </x:c>
      <x:c r="N14" s="64" t="str">
        <x:v>程序预算</x:v>
      </x:c>
      <x:c r="O14" s="64" t="str">
        <x:v>旧业务已被完整收容，新业务可开始且不存在无替代的破坏性清理。</x:v>
      </x:c>
      <x:c r="P14" s="64" t="str">
        <x:v>未开始</x:v>
      </x:c>
      <x:c r="Q14" s="73"/>
      <x:c r="R14" s="65" t="str"/>
    </x:row>
    <x:row r="15" ht="42" customHeight="1">
      <x:c r="A15" s="63" t="str">
        <x:v>P1-001</x:v>
      </x:c>
      <x:c r="B15" s="64" t="str">
        <x:v>阶段1 新合同与数据</x:v>
      </x:c>
      <x:c r="C15" s="64" t="str">
        <x:v>G1 新业务数据可加载</x:v>
      </x:c>
      <x:c r="D15" s="64" t="str">
        <x:v>客户端程序</x:v>
      </x:c>
      <x:c r="E15" s="64" t="str">
        <x:v>领域合同</x:v>
      </x:c>
      <x:c r="F15" s="64" t="str">
        <x:v>建立参赛者与队伍领域合同</x:v>
      </x:c>
      <x:c r="G15" s="64" t="str">
        <x:v>定义6人、3队、真人/Bot来源、阵营、存活与撤离身份。</x:v>
      </x:c>
      <x:c r="H15" s="64" t="str">
        <x:v>P0</x:v>
      </x:c>
      <x:c r="I15" s="64" t="str">
        <x:v>G0-001</x:v>
      </x:c>
      <x:c r="J15" s="64" t="str">
        <x:v>A1</x:v>
      </x:c>
      <x:c r="K15" s="70" t="n">
        <x:v>8</x:v>
      </x:c>
      <x:c r="L15" s="70" t="n">
        <x:v>14</x:v>
      </x:c>
      <x:c r="M15" s="64" t="str">
        <x:v>中</x:v>
      </x:c>
      <x:c r="N15" s="64" t="str">
        <x:v>程序预算</x:v>
      </x:c>
      <x:c r="O15" s="64" t="str">
        <x:v>合同不包含Enemy、角色职业、多武器或网络所有权假设。</x:v>
      </x:c>
      <x:c r="P15" s="64" t="str">
        <x:v>未开始</x:v>
      </x:c>
      <x:c r="Q15" s="73"/>
      <x:c r="R15" s="65" t="str"/>
    </x:row>
    <x:row r="16" ht="42" customHeight="1">
      <x:c r="A16" s="63" t="str">
        <x:v>P1-002</x:v>
      </x:c>
      <x:c r="B16" s="64" t="str">
        <x:v>阶段1 新合同与数据</x:v>
      </x:c>
      <x:c r="C16" s="64" t="str">
        <x:v>G1 新业务数据可加载</x:v>
      </x:c>
      <x:c r="D16" s="64" t="str">
        <x:v>客户端程序</x:v>
      </x:c>
      <x:c r="E16" s="64" t="str">
        <x:v>领域合同</x:v>
      </x:c>
      <x:c r="F16" s="64" t="str">
        <x:v>建立对局阶段与PhaseEpoch合同</x:v>
      </x:c>
      <x:c r="G16" s="64" t="str">
        <x:v>定义OpeningBuild、五轮、四次构筑、缩圈、Result和单调Epoch。</x:v>
      </x:c>
      <x:c r="H16" s="64" t="str">
        <x:v>P0</x:v>
      </x:c>
      <x:c r="I16" s="64" t="str">
        <x:v>G0-001</x:v>
      </x:c>
      <x:c r="J16" s="64" t="str">
        <x:v>A1</x:v>
      </x:c>
      <x:c r="K16" s="70" t="n">
        <x:v>8</x:v>
      </x:c>
      <x:c r="L16" s="70" t="n">
        <x:v>14</x:v>
      </x:c>
      <x:c r="M16" s="64" t="str">
        <x:v>中</x:v>
      </x:c>
      <x:c r="N16" s="64" t="str">
        <x:v>程序预算</x:v>
      </x:c>
      <x:c r="O16" s="64" t="str">
        <x:v>所有阶段与合法转换可由纯C#测试验证，旧回调可判定失效。</x:v>
      </x:c>
      <x:c r="P16" s="64" t="str">
        <x:v>未开始</x:v>
      </x:c>
      <x:c r="Q16" s="73"/>
      <x:c r="R16" s="65" t="str"/>
    </x:row>
    <x:row r="17" ht="42" customHeight="1">
      <x:c r="A17" s="63" t="str">
        <x:v>P1-003</x:v>
      </x:c>
      <x:c r="B17" s="64" t="str">
        <x:v>阶段1 新合同与数据</x:v>
      </x:c>
      <x:c r="C17" s="64" t="str">
        <x:v>G1 新业务数据可加载</x:v>
      </x:c>
      <x:c r="D17" s="64" t="str">
        <x:v>客户端程序</x:v>
      </x:c>
      <x:c r="E17" s="64" t="str">
        <x:v>领域合同</x:v>
      </x:c>
      <x:c r="F17" s="64" t="str">
        <x:v>建立战斗与伤害合同</x:v>
      </x:c>
      <x:c r="G17" s="64" t="str">
        <x:v>定义直接/间接伤害、弱点、护盾、倒地、来源和有效伤害。</x:v>
      </x:c>
      <x:c r="H17" s="64" t="str">
        <x:v>P0</x:v>
      </x:c>
      <x:c r="I17" s="64" t="str">
        <x:v>P1-001</x:v>
      </x:c>
      <x:c r="J17" s="64" t="str">
        <x:v>A1</x:v>
      </x:c>
      <x:c r="K17" s="70" t="n">
        <x:v>10</x:v>
      </x:c>
      <x:c r="L17" s="70" t="n">
        <x:v>16</x:v>
      </x:c>
      <x:c r="M17" s="64" t="str">
        <x:v>中</x:v>
      </x:c>
      <x:c r="N17" s="64" t="str">
        <x:v>程序预算</x:v>
      </x:c>
      <x:c r="O17" s="64" t="str">
        <x:v>伤害上下文足以支持队友校验、纹身入口和成果归因，不依赖具体MonoBehaviour。</x:v>
      </x:c>
      <x:c r="P17" s="64" t="str">
        <x:v>未开始</x:v>
      </x:c>
      <x:c r="Q17" s="73"/>
      <x:c r="R17" s="65" t="str"/>
    </x:row>
    <x:row r="18" ht="42" customHeight="1">
      <x:c r="A18" s="63" t="str">
        <x:v>P1-004</x:v>
      </x:c>
      <x:c r="B18" s="64" t="str">
        <x:v>阶段1 新合同与数据</x:v>
      </x:c>
      <x:c r="C18" s="64" t="str">
        <x:v>G1 新业务数据可加载</x:v>
      </x:c>
      <x:c r="D18" s="64" t="str">
        <x:v>客户端程序</x:v>
      </x:c>
      <x:c r="E18" s="64" t="str">
        <x:v>领域合同</x:v>
      </x:c>
      <x:c r="F18" s="64" t="str">
        <x:v>建立纹身与冷却合同</x:v>
      </x:c>
      <x:c r="G18" s="64" t="str">
        <x:v>定义P01/P02、六部位、颜色、装备、12效果和独立冷却键。</x:v>
      </x:c>
      <x:c r="H18" s="64" t="str">
        <x:v>P0</x:v>
      </x:c>
      <x:c r="I18" s="64" t="str">
        <x:v>P1-001</x:v>
      </x:c>
      <x:c r="J18" s="64" t="str">
        <x:v>A1</x:v>
      </x:c>
      <x:c r="K18" s="70" t="n">
        <x:v>10</x:v>
      </x:c>
      <x:c r="L18" s="70" t="n">
        <x:v>16</x:v>
      </x:c>
      <x:c r="M18" s="64" t="str">
        <x:v>中</x:v>
      </x:c>
      <x:c r="N18" s="64" t="str">
        <x:v>程序预算</x:v>
      </x:c>
      <x:c r="O18" s="64" t="str">
        <x:v>每个图案×部位拥有独立配置和冷却，左臂技能纳入同一框架。</x:v>
      </x:c>
      <x:c r="P18" s="64" t="str">
        <x:v>未开始</x:v>
      </x:c>
      <x:c r="Q18" s="73"/>
      <x:c r="R18" s="65" t="str"/>
    </x:row>
    <x:row r="19" ht="42" customHeight="1">
      <x:c r="A19" s="63" t="str">
        <x:v>P1-005</x:v>
      </x:c>
      <x:c r="B19" s="64" t="str">
        <x:v>阶段1 新合同与数据</x:v>
      </x:c>
      <x:c r="C19" s="64" t="str">
        <x:v>G1 新业务数据可加载</x:v>
      </x:c>
      <x:c r="D19" s="64" t="str">
        <x:v>客户端程序</x:v>
      </x:c>
      <x:c r="E19" s="64" t="str">
        <x:v>领域合同</x:v>
      </x:c>
      <x:c r="F19" s="64" t="str">
        <x:v>建立元素状态与事件合同</x:v>
      </x:c>
      <x:c r="G19" s="64" t="str">
        <x:v>定义三层元素、来源、多方贡献、反应、优先级队列和稳定随机。</x:v>
      </x:c>
      <x:c r="H19" s="64" t="str">
        <x:v>P0</x:v>
      </x:c>
      <x:c r="I19" s="64" t="str">
        <x:v>P1-003,P1-004</x:v>
      </x:c>
      <x:c r="J19" s="64" t="str">
        <x:v>A1</x:v>
      </x:c>
      <x:c r="K19" s="70" t="n">
        <x:v>10</x:v>
      </x:c>
      <x:c r="L19" s="70" t="n">
        <x:v>16</x:v>
      </x:c>
      <x:c r="M19" s="64" t="str">
        <x:v>低</x:v>
      </x:c>
      <x:c r="N19" s="64" t="str">
        <x:v>程序预算</x:v>
      </x:c>
      <x:c r="O19" s="64" t="str">
        <x:v>事件可序列化为可测试上下文，间接伤害不会递归进入直接伤害触发链。</x:v>
      </x:c>
      <x:c r="P19" s="64" t="str">
        <x:v>未开始</x:v>
      </x:c>
      <x:c r="Q19" s="73"/>
      <x:c r="R19" s="65" t="str"/>
    </x:row>
    <x:row r="20" ht="42" customHeight="1">
      <x:c r="A20" s="63" t="str">
        <x:v>P1-006</x:v>
      </x:c>
      <x:c r="B20" s="64" t="str">
        <x:v>阶段1 新合同与数据</x:v>
      </x:c>
      <x:c r="C20" s="64" t="str">
        <x:v>G1 新业务数据可加载</x:v>
      </x:c>
      <x:c r="D20" s="64" t="str">
        <x:v>客户端程序</x:v>
      </x:c>
      <x:c r="E20" s="64" t="str">
        <x:v>领域合同</x:v>
      </x:c>
      <x:c r="F20" s="64" t="str">
        <x:v>建立颜料、构筑与成果合同</x:v>
      </x:c>
      <x:c r="G20" s="64" t="str">
        <x:v>定义库存、装备事务、请求转移、构筑快照和本局累计成果。</x:v>
      </x:c>
      <x:c r="H20" s="64" t="str">
        <x:v>P0</x:v>
      </x:c>
      <x:c r="I20" s="64" t="str">
        <x:v>P1-001,P1-004</x:v>
      </x:c>
      <x:c r="J20" s="64" t="str">
        <x:v>A1</x:v>
      </x:c>
      <x:c r="K20" s="70" t="n">
        <x:v>8</x:v>
      </x:c>
      <x:c r="L20" s="70" t="n">
        <x:v>14</x:v>
      </x:c>
      <x:c r="M20" s="64" t="str">
        <x:v>中</x:v>
      </x:c>
      <x:c r="N20" s="64" t="str">
        <x:v>程序预算</x:v>
      </x:c>
      <x:c r="O20" s="64" t="str">
        <x:v>颜料不共享，请求转移原子化，快照与实时状态边界明确。</x:v>
      </x:c>
      <x:c r="P20" s="64" t="str">
        <x:v>未开始</x:v>
      </x:c>
      <x:c r="Q20" s="73"/>
      <x:c r="R20" s="65" t="str"/>
    </x:row>
    <x:row r="21" ht="42" customHeight="1">
      <x:c r="A21" s="63" t="str">
        <x:v>P1-007</x:v>
      </x:c>
      <x:c r="B21" s="64" t="str">
        <x:v>阶段1 新合同与数据</x:v>
      </x:c>
      <x:c r="C21" s="64" t="str">
        <x:v>G1 新业务数据可加载</x:v>
      </x:c>
      <x:c r="D21" s="64" t="str">
        <x:v>客户端程序</x:v>
      </x:c>
      <x:c r="E21" s="64" t="str">
        <x:v>输入</x:v>
      </x:c>
      <x:c r="F21" s="64" t="str">
        <x:v>扩展InputModule语义命令</x:v>
      </x:c>
      <x:c r="G21" s="64" t="str">
        <x:v>登记移动、瞄准、按住射击、闪避、技能激活/确认/取消、交互、调试治疗和菜单。</x:v>
      </x:c>
      <x:c r="H21" s="64" t="str">
        <x:v>P0</x:v>
      </x:c>
      <x:c r="I21" s="64" t="str">
        <x:v>G0-001</x:v>
      </x:c>
      <x:c r="J21" s="64" t="str">
        <x:v>A1</x:v>
      </x:c>
      <x:c r="K21" s="70" t="n">
        <x:v>8</x:v>
      </x:c>
      <x:c r="L21" s="70" t="n">
        <x:v>14</x:v>
      </x:c>
      <x:c r="M21" s="64" t="str">
        <x:v>中</x:v>
      </x:c>
      <x:c r="N21" s="64" t="str">
        <x:v>程序预算</x:v>
      </x:c>
      <x:c r="O21" s="64" t="str">
        <x:v>产品业务不读取设备输入，调试治疗也只能通过输入服务。</x:v>
      </x:c>
      <x:c r="P21" s="64" t="str">
        <x:v>未开始</x:v>
      </x:c>
      <x:c r="Q21" s="73"/>
      <x:c r="R21" s="65" t="str"/>
    </x:row>
    <x:row r="22" ht="42" customHeight="1">
      <x:c r="A22" s="63" t="str">
        <x:v>P1-008</x:v>
      </x:c>
      <x:c r="B22" s="64" t="str">
        <x:v>阶段1 新合同与数据</x:v>
      </x:c>
      <x:c r="C22" s="64" t="str">
        <x:v>G1 新业务数据可加载</x:v>
      </x:c>
      <x:c r="D22" s="64" t="str">
        <x:v>客户端程序</x:v>
      </x:c>
      <x:c r="E22" s="64" t="str">
        <x:v>命令入口</x:v>
      </x:c>
      <x:c r="F22" s="64" t="str">
        <x:v>建立真人与Bot统一命令Provider</x:v>
      </x:c>
      <x:c r="G22" s="64" t="str">
        <x:v>真人和Bot向相同业务命令层提交意图，Bot不模拟键盘。</x:v>
      </x:c>
      <x:c r="H22" s="64" t="str">
        <x:v>P0</x:v>
      </x:c>
      <x:c r="I22" s="64" t="str">
        <x:v>P1-001,P1-007</x:v>
      </x:c>
      <x:c r="J22" s="64" t="str">
        <x:v>A1</x:v>
      </x:c>
      <x:c r="K22" s="70" t="n">
        <x:v>8</x:v>
      </x:c>
      <x:c r="L22" s="70" t="n">
        <x:v>14</x:v>
      </x:c>
      <x:c r="M22" s="64" t="str">
        <x:v>中</x:v>
      </x:c>
      <x:c r="N22" s="64" t="str">
        <x:v>程序预算</x:v>
      </x:c>
      <x:c r="O22" s="64" t="str">
        <x:v>业务校验只有一份，命令来源不能绕过阶段、队伍或生命状态。</x:v>
      </x:c>
      <x:c r="P22" s="64" t="str">
        <x:v>未开始</x:v>
      </x:c>
      <x:c r="Q22" s="73"/>
      <x:c r="R22" s="65" t="str"/>
    </x:row>
    <x:row r="23" ht="42" customHeight="1">
      <x:c r="A23" s="63" t="str">
        <x:v>P1-009</x:v>
      </x:c>
      <x:c r="B23" s="64" t="str">
        <x:v>阶段1 新合同与数据</x:v>
      </x:c>
      <x:c r="C23" s="64" t="str">
        <x:v>G1 新业务数据可加载</x:v>
      </x:c>
      <x:c r="D23" s="64" t="str">
        <x:v>配置与内容</x:v>
      </x:c>
      <x:c r="E23" s="64" t="str">
        <x:v>配置架构</x:v>
      </x:c>
      <x:c r="F23" s="64" t="str">
        <x:v>设计新业务表结构</x:v>
      </x:c>
      <x:c r="G23" s="64" t="str">
        <x:v>定义Match、Weapon、Dodge、TattooEffect、Element、Reaction、Bot、Pickup、UI和RuntimeAsset表。</x:v>
      </x:c>
      <x:c r="H23" s="64" t="str">
        <x:v>P0</x:v>
      </x:c>
      <x:c r="I23" s="64" t="str">
        <x:v>P1-002,P1-003,P1-004,P1-005,P1-006</x:v>
      </x:c>
      <x:c r="J23" s="64" t="str">
        <x:v>A1</x:v>
      </x:c>
      <x:c r="K23" s="70" t="n">
        <x:v>12</x:v>
      </x:c>
      <x:c r="L23" s="70" t="n">
        <x:v>18</x:v>
      </x:c>
      <x:c r="M23" s="64" t="str">
        <x:v>低</x:v>
      </x:c>
      <x:c r="N23" s="64" t="str">
        <x:v>程序预算</x:v>
      </x:c>
      <x:c r="O23" s="64" t="str">
        <x:v>每个策划字段有类型、默认值、约束和消费者；不存在旧技能/武器词条字段。</x:v>
      </x:c>
      <x:c r="P23" s="64" t="str">
        <x:v>未开始</x:v>
      </x:c>
      <x:c r="Q23" s="73"/>
      <x:c r="R23" s="65" t="str"/>
    </x:row>
    <x:row r="24" ht="42" customHeight="1">
      <x:c r="A24" s="63" t="str">
        <x:v>P1-010</x:v>
      </x:c>
      <x:c r="B24" s="64" t="str">
        <x:v>阶段1 新合同与数据</x:v>
      </x:c>
      <x:c r="C24" s="64" t="str">
        <x:v>G1 新业务数据可加载</x:v>
      </x:c>
      <x:c r="D24" s="64" t="str">
        <x:v>配置与内容</x:v>
      </x:c>
      <x:c r="E24" s="64" t="str">
        <x:v>DataTable</x:v>
      </x:c>
      <x:c r="F24" s="64" t="str">
        <x:v>建立新DataTable源与生成链</x:v>
      </x:c>
      <x:c r="G24" s="64" t="str">
        <x:v>创建Excel源、导出txt/JSON和运行时加载合同。</x:v>
      </x:c>
      <x:c r="H24" s="64" t="str">
        <x:v>P0</x:v>
      </x:c>
      <x:c r="I24" s="64" t="str">
        <x:v>P1-009</x:v>
      </x:c>
      <x:c r="J24" s="64" t="str">
        <x:v>A1</x:v>
      </x:c>
      <x:c r="K24" s="70" t="n">
        <x:v>12</x:v>
      </x:c>
      <x:c r="L24" s="70" t="n">
        <x:v>18</x:v>
      </x:c>
      <x:c r="M24" s="64" t="str">
        <x:v>中</x:v>
      </x:c>
      <x:c r="N24" s="64" t="str">
        <x:v>程序预算</x:v>
      </x:c>
      <x:c r="O24" s="64" t="str">
        <x:v>新表由GF数据链加载，源文件与导出物不存在人工双改。</x:v>
      </x:c>
      <x:c r="P24" s="64" t="str">
        <x:v>未开始</x:v>
      </x:c>
      <x:c r="Q24" s="73"/>
      <x:c r="R24" s="65" t="str"/>
    </x:row>
    <x:row r="25" ht="42" customHeight="1">
      <x:c r="A25" s="63" t="str">
        <x:v>P1-011</x:v>
      </x:c>
      <x:c r="B25" s="64" t="str">
        <x:v>阶段1 新合同与数据</x:v>
      </x:c>
      <x:c r="C25" s="64" t="str">
        <x:v>G1 新业务数据可加载</x:v>
      </x:c>
      <x:c r="D25" s="64" t="str">
        <x:v>配置与内容</x:v>
      </x:c>
      <x:c r="E25" s="64" t="str">
        <x:v>Gameplay Catalog</x:v>
      </x:c>
      <x:c r="F25" s="64" t="str">
        <x:v>重建Gameplay Catalog</x:v>
      </x:c>
      <x:c r="G25" s="64" t="str">
        <x:v>只录入First Playable需要的参与者、枪械、纹身、元素、Bot与拾取定义。</x:v>
      </x:c>
      <x:c r="H25" s="64" t="str">
        <x:v>P0</x:v>
      </x:c>
      <x:c r="I25" s="64" t="str">
        <x:v>P1-009</x:v>
      </x:c>
      <x:c r="J25" s="64" t="str">
        <x:v>A1</x:v>
      </x:c>
      <x:c r="K25" s="70" t="n">
        <x:v>10</x:v>
      </x:c>
      <x:c r="L25" s="70" t="n">
        <x:v>16</x:v>
      </x:c>
      <x:c r="M25" s="64" t="str">
        <x:v>中</x:v>
      </x:c>
      <x:c r="N25" s="64" t="str">
        <x:v>程序预算</x:v>
      </x:c>
      <x:c r="O25" s="64" t="str">
        <x:v>Catalog不含Enemy、Boss、旧技能、旧武器、旧商店和P03～P08活动内容。</x:v>
      </x:c>
      <x:c r="P25" s="64" t="str">
        <x:v>未开始</x:v>
      </x:c>
      <x:c r="Q25" s="73"/>
      <x:c r="R25" s="65" t="str"/>
    </x:row>
    <x:row r="26" ht="42" customHeight="1">
      <x:c r="A26" s="63" t="str">
        <x:v>P1-012</x:v>
      </x:c>
      <x:c r="B26" s="64" t="str">
        <x:v>阶段1 新合同与数据</x:v>
      </x:c>
      <x:c r="C26" s="64" t="str">
        <x:v>G1 新业务数据可加载</x:v>
      </x:c>
      <x:c r="D26" s="64" t="str">
        <x:v>配置与内容</x:v>
      </x:c>
      <x:c r="E26" s="64" t="str">
        <x:v>Asset Catalog</x:v>
      </x:c>
      <x:c r="F26" s="64" t="str">
        <x:v>重建Runtime Asset Catalog</x:v>
      </x:c>
      <x:c r="G26" s="64" t="str">
        <x:v>登记现存场景、交互物、P01/P02、已确认UI/VFX插槽；正式角色在制作完成前不得登记不存在的资源路径。</x:v>
      </x:c>
      <x:c r="H26" s="64" t="str">
        <x:v>P0</x:v>
      </x:c>
      <x:c r="I26" s="64" t="str">
        <x:v>P0-003,P1-009</x:v>
      </x:c>
      <x:c r="J26" s="64" t="str">
        <x:v>A1</x:v>
      </x:c>
      <x:c r="K26" s="70" t="n">
        <x:v>8</x:v>
      </x:c>
      <x:c r="L26" s="70" t="n">
        <x:v>14</x:v>
      </x:c>
      <x:c r="M26" s="64" t="str">
        <x:v>中</x:v>
      </x:c>
      <x:c r="N26" s="64" t="str">
        <x:v>程序预算</x:v>
      </x:c>
      <x:c r="O26" s="64" t="str">
        <x:v>现存资产路径和资源键有效；缺失角色明确为未制作，纹身命名不沿用错误旧语义。</x:v>
      </x:c>
      <x:c r="P26" s="64" t="str">
        <x:v>未开始</x:v>
      </x:c>
      <x:c r="Q26" s="73"/>
      <x:c r="R26" s="65" t="str"/>
    </x:row>
    <x:row r="27" ht="42" customHeight="1">
      <x:c r="A27" s="63" t="str">
        <x:v>P1-013</x:v>
      </x:c>
      <x:c r="B27" s="64" t="str">
        <x:v>阶段1 新合同与数据</x:v>
      </x:c>
      <x:c r="C27" s="64" t="str">
        <x:v>G1 新业务数据可加载</x:v>
      </x:c>
      <x:c r="D27" s="64" t="str">
        <x:v>客户端程序</x:v>
      </x:c>
      <x:c r="E27" s="64" t="str">
        <x:v>数据校验</x:v>
      </x:c>
      <x:c r="F27" s="64" t="str">
        <x:v>建立跨表和资产合同校验器</x:v>
      </x:c>
      <x:c r="G27" s="64" t="str">
        <x:v>校验ID、引用、范围、12效果覆盖、场景锚点、资源路径和互斥边界。</x:v>
      </x:c>
      <x:c r="H27" s="64" t="str">
        <x:v>P0</x:v>
      </x:c>
      <x:c r="I27" s="64" t="str">
        <x:v>P1-010,P1-011,P1-012</x:v>
      </x:c>
      <x:c r="J27" s="64" t="str">
        <x:v>A1</x:v>
      </x:c>
      <x:c r="K27" s="70" t="n">
        <x:v>12</x:v>
      </x:c>
      <x:c r="L27" s="70" t="n">
        <x:v>18</x:v>
      </x:c>
      <x:c r="M27" s="64" t="str">
        <x:v>中</x:v>
      </x:c>
      <x:c r="N27" s="64" t="str">
        <x:v>程序预算</x:v>
      </x:c>
      <x:c r="O27" s="64" t="str">
        <x:v>非法配置在启动或诊断阶段明确失败，不以静默默认值掩盖。</x:v>
      </x:c>
      <x:c r="P27" s="64" t="str">
        <x:v>未开始</x:v>
      </x:c>
      <x:c r="Q27" s="73"/>
      <x:c r="R27" s="65" t="str"/>
    </x:row>
    <x:row r="28" ht="42" customHeight="1">
      <x:c r="A28" s="63" t="str">
        <x:v>P1-014</x:v>
      </x:c>
      <x:c r="B28" s="64" t="str">
        <x:v>阶段1 新合同与数据</x:v>
      </x:c>
      <x:c r="C28" s="64" t="str">
        <x:v>G1 新业务数据可加载</x:v>
      </x:c>
      <x:c r="D28" s="64" t="str">
        <x:v>客户端程序</x:v>
      </x:c>
      <x:c r="E28" s="64" t="str">
        <x:v>旧数据切断</x:v>
      </x:c>
      <x:c r="F28" s="64" t="str">
        <x:v>切断旧业务数据权威入口</x:v>
      </x:c>
      <x:c r="G28" s="64" t="str">
        <x:v>让新服务只读取新表与新Catalog，旧表保持只读待删除。</x:v>
      </x:c>
      <x:c r="H28" s="64" t="str">
        <x:v>P0</x:v>
      </x:c>
      <x:c r="I28" s="64" t="str">
        <x:v>P1-010,P1-011,P1-012,P1-013</x:v>
      </x:c>
      <x:c r="J28" s="64" t="str">
        <x:v>A1</x:v>
      </x:c>
      <x:c r="K28" s="70" t="n">
        <x:v>8</x:v>
      </x:c>
      <x:c r="L28" s="70" t="n">
        <x:v>14</x:v>
      </x:c>
      <x:c r="M28" s="64" t="str">
        <x:v>低</x:v>
      </x:c>
      <x:c r="N28" s="64" t="str">
        <x:v>程序预算</x:v>
      </x:c>
      <x:c r="O28" s="64" t="str">
        <x:v>运行时不存在同时读取新旧业务定义的双权威路径。</x:v>
      </x:c>
      <x:c r="P28" s="64" t="str">
        <x:v>未开始</x:v>
      </x:c>
      <x:c r="Q28" s="73"/>
      <x:c r="R28" s="65" t="str"/>
    </x:row>
    <x:row r="29" ht="42" customHeight="1">
      <x:c r="A29" s="63" t="str">
        <x:v>G1-001</x:v>
      </x:c>
      <x:c r="B29" s="64" t="str">
        <x:v>阶段1 新合同与数据</x:v>
      </x:c>
      <x:c r="C29" s="64" t="str">
        <x:v>G1 新业务数据可加载</x:v>
      </x:c>
      <x:c r="D29" s="64" t="str">
        <x:v>集成与阶段验收</x:v>
      </x:c>
      <x:c r="E29" s="64" t="str">
        <x:v>阶段验收</x:v>
      </x:c>
      <x:c r="F29" s="64" t="str">
        <x:v>新业务数据骨架验收</x:v>
      </x:c>
      <x:c r="G29" s="64" t="str">
        <x:v>验证领域合同、输入命令、配置生成、Catalog加载和非法数据拒绝。</x:v>
      </x:c>
      <x:c r="H29" s="64" t="str">
        <x:v>P0</x:v>
      </x:c>
      <x:c r="I29" s="64" t="str">
        <x:v>P1-005,P1-006,P1-008,P1-013,P1-014</x:v>
      </x:c>
      <x:c r="J29" s="64" t="str">
        <x:v>G1</x:v>
      </x:c>
      <x:c r="K29" s="70" t="n">
        <x:v>8</x:v>
      </x:c>
      <x:c r="L29" s="70" t="n">
        <x:v>12</x:v>
      </x:c>
      <x:c r="M29" s="64" t="str">
        <x:v>高</x:v>
      </x:c>
      <x:c r="N29" s="64" t="str">
        <x:v>程序预算</x:v>
      </x:c>
      <x:c r="O29" s="64" t="str">
        <x:v>新业务骨架独立可测、数据可加载，旧业务表已退出权威路径。</x:v>
      </x:c>
      <x:c r="P29" s="64" t="str">
        <x:v>未开始</x:v>
      </x:c>
      <x:c r="Q29" s="73"/>
      <x:c r="R29" s="65" t="str"/>
    </x:row>
    <x:row r="30" ht="42" customHeight="1">
      <x:c r="A30" s="63" t="str">
        <x:v>P2-001</x:v>
      </x:c>
      <x:c r="B30" s="64" t="str">
        <x:v>阶段2 角色与枪战</x:v>
      </x:c>
      <x:c r="C30" s="64" t="str">
        <x:v>G2 单局战斗可验证</x:v>
      </x:c>
      <x:c r="D30" s="64" t="str">
        <x:v>客户端程序</x:v>
      </x:c>
      <x:c r="E30" s="64" t="str">
        <x:v>参与者</x:v>
      </x:c>
      <x:c r="F30" s="64" t="str">
        <x:v>实现六人三队运行时注册</x:v>
      </x:c>
      <x:c r="G30" s="64" t="str">
        <x:v>生成1真人+5Bot并稳定分为三支双人队。</x:v>
      </x:c>
      <x:c r="H30" s="64" t="str">
        <x:v>P0</x:v>
      </x:c>
      <x:c r="I30" s="64" t="str">
        <x:v>G1-001</x:v>
      </x:c>
      <x:c r="J30" s="64" t="str">
        <x:v>A2</x:v>
      </x:c>
      <x:c r="K30" s="70" t="n">
        <x:v>10</x:v>
      </x:c>
      <x:c r="L30" s="70" t="n">
        <x:v>16</x:v>
      </x:c>
      <x:c r="M30" s="64" t="str">
        <x:v>中</x:v>
      </x:c>
      <x:c r="N30" s="64" t="str">
        <x:v>程序预算</x:v>
      </x:c>
      <x:c r="O30" s="64" t="str">
        <x:v>固定seed得到稳定队伍，真人始终有一名Bot队友且不存在重复成员。</x:v>
      </x:c>
      <x:c r="P30" s="64" t="str">
        <x:v>未开始</x:v>
      </x:c>
      <x:c r="Q30" s="73"/>
      <x:c r="R30" s="65" t="str"/>
    </x:row>
    <x:row r="31" ht="42" customHeight="1">
      <x:c r="A31" s="63" t="str">
        <x:v>P2-002</x:v>
      </x:c>
      <x:c r="B31" s="64" t="str">
        <x:v>阶段2 角色与枪战</x:v>
      </x:c>
      <x:c r="C31" s="64" t="str">
        <x:v>G2 单局战斗可验证</x:v>
      </x:c>
      <x:c r="D31" s="64" t="str">
        <x:v>客户端程序</x:v>
      </x:c>
      <x:c r="E31" s="64" t="str">
        <x:v>出生</x:v>
      </x:c>
      <x:c r="F31" s="64" t="str">
        <x:v>接入OasisCity合法出生组</x:v>
      </x:c>
      <x:c r="G31" s="64" t="str">
        <x:v>从PlayerSpawn组按seed抽取，同队相邻、异队不占同组。</x:v>
      </x:c>
      <x:c r="H31" s="64" t="str">
        <x:v>P0</x:v>
      </x:c>
      <x:c r="I31" s="64" t="str">
        <x:v>P2-001</x:v>
      </x:c>
      <x:c r="J31" s="64" t="str">
        <x:v>A2</x:v>
      </x:c>
      <x:c r="K31" s="70" t="n">
        <x:v>8</x:v>
      </x:c>
      <x:c r="L31" s="70" t="n">
        <x:v>14</x:v>
      </x:c>
      <x:c r="M31" s="64" t="str">
        <x:v>中</x:v>
      </x:c>
      <x:c r="N31" s="64" t="str">
        <x:v>程序预算</x:v>
      </x:c>
      <x:c r="O31" s="64" t="str">
        <x:v>无合法组时明确失败，不使用任意坐标兜底。</x:v>
      </x:c>
      <x:c r="P31" s="64" t="str">
        <x:v>未开始</x:v>
      </x:c>
      <x:c r="Q31" s="73"/>
      <x:c r="R31" s="65" t="str"/>
    </x:row>
    <x:row r="32" ht="42" customHeight="1">
      <x:c r="A32" s="63" t="str">
        <x:v>P2-003</x:v>
      </x:c>
      <x:c r="B32" s="64" t="str">
        <x:v>阶段2 角色与枪战</x:v>
      </x:c>
      <x:c r="C32" s="64" t="str">
        <x:v>G2 单局战斗可验证</x:v>
      </x:c>
      <x:c r="D32" s="64" t="str">
        <x:v>客户端程序</x:v>
      </x:c>
      <x:c r="E32" s="64" t="str">
        <x:v>角色状态</x:v>
      </x:c>
      <x:c r="F32" s="64" t="str">
        <x:v>重建生命、护盾与阵营伤害入口</x:v>
      </x:c>
      <x:c r="G32" s="64" t="str">
        <x:v>实现150最大生命、0初始护盾、友伤拒绝和临时护盾接口。</x:v>
      </x:c>
      <x:c r="H32" s="64" t="str">
        <x:v>P0</x:v>
      </x:c>
      <x:c r="I32" s="64" t="str">
        <x:v>P1-003,P2-001</x:v>
      </x:c>
      <x:c r="J32" s="64" t="str">
        <x:v>A2</x:v>
      </x:c>
      <x:c r="K32" s="70" t="n">
        <x:v>10</x:v>
      </x:c>
      <x:c r="L32" s="70" t="n">
        <x:v>16</x:v>
      </x:c>
      <x:c r="M32" s="64" t="str">
        <x:v>中</x:v>
      </x:c>
      <x:c r="N32" s="64" t="str">
        <x:v>程序预算</x:v>
      </x:c>
      <x:c r="O32" s="64" t="str">
        <x:v>所有伤害经过统一入口，队友伤害为0且不产生成果或后续事件。</x:v>
      </x:c>
      <x:c r="P32" s="64" t="str">
        <x:v>未开始</x:v>
      </x:c>
      <x:c r="Q32" s="73"/>
      <x:c r="R32" s="65" t="str"/>
    </x:row>
    <x:row r="33" ht="42" customHeight="1">
      <x:c r="A33" s="63" t="str">
        <x:v>P2-004</x:v>
      </x:c>
      <x:c r="B33" s="64" t="str">
        <x:v>阶段2 角色与枪战</x:v>
      </x:c>
      <x:c r="C33" s="64" t="str">
        <x:v>G2 单局战斗可验证</x:v>
      </x:c>
      <x:c r="D33" s="64" t="str">
        <x:v>客户端程序</x:v>
      </x:c>
      <x:c r="E33" s="64" t="str">
        <x:v>移动</x:v>
      </x:c>
      <x:c r="F33" s="64" t="str">
        <x:v>实现普通移动与摄像机相对方向</x:v>
      </x:c>
      <x:c r="G33" s="64" t="str">
        <x:v>以5米/秒移动并区分普通、闪避和强制位移来源。</x:v>
      </x:c>
      <x:c r="H33" s="64" t="str">
        <x:v>P0</x:v>
      </x:c>
      <x:c r="I33" s="64" t="str">
        <x:v>P1-007,P2-001</x:v>
      </x:c>
      <x:c r="J33" s="64" t="str">
        <x:v>A2</x:v>
      </x:c>
      <x:c r="K33" s="70" t="n">
        <x:v>8</x:v>
      </x:c>
      <x:c r="L33" s="70" t="n">
        <x:v>14</x:v>
      </x:c>
      <x:c r="M33" s="64" t="str">
        <x:v>中</x:v>
      </x:c>
      <x:c r="N33" s="64" t="str">
        <x:v>程序预算</x:v>
      </x:c>
      <x:c r="O33" s="64" t="str">
        <x:v>普通移动可统计平面距离，非普通位移不会混入右腿能量来源。</x:v>
      </x:c>
      <x:c r="P33" s="64" t="str">
        <x:v>未开始</x:v>
      </x:c>
      <x:c r="Q33" s="73"/>
      <x:c r="R33" s="65" t="str"/>
    </x:row>
    <x:row r="34" ht="42" customHeight="1">
      <x:c r="A34" s="63" t="str">
        <x:v>P2-005</x:v>
      </x:c>
      <x:c r="B34" s="64" t="str">
        <x:v>阶段2 角色与枪战</x:v>
      </x:c>
      <x:c r="C34" s="64" t="str">
        <x:v>G2 单局战斗可验证</x:v>
      </x:c>
      <x:c r="D34" s="64" t="str">
        <x:v>客户端程序</x:v>
      </x:c>
      <x:c r="E34" s="64" t="str">
        <x:v>枪械</x:v>
      </x:c>
      <x:c r="F34" s="64" t="str">
        <x:v>实现单步枪按住连射</x:v>
      </x:c>
      <x:c r="G34" s="64" t="str">
        <x:v>命中扫描、0.5秒间隔、30米射程、16点身体伤害。</x:v>
      </x:c>
      <x:c r="H34" s="64" t="str">
        <x:v>P0</x:v>
      </x:c>
      <x:c r="I34" s="64" t="str">
        <x:v>P1-003,P1-007,P2-003</x:v>
      </x:c>
      <x:c r="J34" s="64" t="str">
        <x:v>A2</x:v>
      </x:c>
      <x:c r="K34" s="70" t="n">
        <x:v>10</x:v>
      </x:c>
      <x:c r="L34" s="70" t="n">
        <x:v>16</x:v>
      </x:c>
      <x:c r="M34" s="64" t="str">
        <x:v>中</x:v>
      </x:c>
      <x:c r="N34" s="64" t="str">
        <x:v>程序预算</x:v>
      </x:c>
      <x:c r="O34" s="64" t="str">
        <x:v>按住开火稳定连续射击，构筑边界刷新基础枪械冷却。</x:v>
      </x:c>
      <x:c r="P34" s="64" t="str">
        <x:v>未开始</x:v>
      </x:c>
      <x:c r="Q34" s="73"/>
      <x:c r="R34" s="65" t="str"/>
    </x:row>
    <x:row r="35" ht="42" customHeight="1">
      <x:c r="A35" s="63" t="str">
        <x:v>P2-006</x:v>
      </x:c>
      <x:c r="B35" s="64" t="str">
        <x:v>阶段2 角色与枪战</x:v>
      </x:c>
      <x:c r="C35" s="64" t="str">
        <x:v>G2 单局战斗可验证</x:v>
      </x:c>
      <x:c r="D35" s="64" t="str">
        <x:v>客户端程序</x:v>
      </x:c>
      <x:c r="E35" s="64" t="str">
        <x:v>瞄准</x:v>
      </x:c>
      <x:c r="F35" s="64" t="str">
        <x:v>实现真人准星直射与遮挡</x:v>
      </x:c>
      <x:c r="G35" s="64" t="str">
        <x:v>移除12度目标筛选锥、吸附、随机散布、弹道后坐力和穿透。</x:v>
      </x:c>
      <x:c r="H35" s="64" t="str">
        <x:v>P0</x:v>
      </x:c>
      <x:c r="I35" s="64" t="str">
        <x:v>P2-005</x:v>
      </x:c>
      <x:c r="J35" s="64" t="str">
        <x:v>A2</x:v>
      </x:c>
      <x:c r="K35" s="70" t="n">
        <x:v>10</x:v>
      </x:c>
      <x:c r="L35" s="70" t="n">
        <x:v>16</x:v>
      </x:c>
      <x:c r="M35" s="64" t="str">
        <x:v>中</x:v>
      </x:c>
      <x:c r="N35" s="64" t="str">
        <x:v>程序预算</x:v>
      </x:c>
      <x:c r="O35" s="64" t="str">
        <x:v>准星未指向目标时不命中；墙体和首个玩家阻断射线。</x:v>
      </x:c>
      <x:c r="P35" s="64" t="str">
        <x:v>未开始</x:v>
      </x:c>
      <x:c r="Q35" s="73"/>
      <x:c r="R35" s="65" t="str"/>
    </x:row>
    <x:row r="36" ht="42" customHeight="1">
      <x:c r="A36" s="63" t="str">
        <x:v>P2-007</x:v>
      </x:c>
      <x:c r="B36" s="64" t="str">
        <x:v>阶段2 角色与枪战</x:v>
      </x:c>
      <x:c r="C36" s="64" t="str">
        <x:v>G2 单局战斗可验证</x:v>
      </x:c>
      <x:c r="D36" s="64" t="str">
        <x:v>客户端程序</x:v>
      </x:c>
      <x:c r="E36" s="64" t="str">
        <x:v>弱点</x:v>
      </x:c>
      <x:c r="F36" s="64" t="str">
        <x:v>实现身体与头部命中结算</x:v>
      </x:c>
      <x:c r="G36" s="64" t="str">
        <x:v>头部应用1.5倍得到24伤害，并输出弱点上下文。</x:v>
      </x:c>
      <x:c r="H36" s="64" t="str">
        <x:v>P0</x:v>
      </x:c>
      <x:c r="I36" s="64" t="str">
        <x:v>P2-005,P2-006</x:v>
      </x:c>
      <x:c r="J36" s="64" t="str">
        <x:v>A2</x:v>
      </x:c>
      <x:c r="K36" s="70" t="n">
        <x:v>8</x:v>
      </x:c>
      <x:c r="L36" s="70" t="n">
        <x:v>14</x:v>
      </x:c>
      <x:c r="M36" s="64" t="str">
        <x:v>中</x:v>
      </x:c>
      <x:c r="N36" s="64" t="str">
        <x:v>程序预算</x:v>
      </x:c>
      <x:c r="O36" s="64" t="str">
        <x:v>150生命目标需10次身体或7次头部命中；纹身基础伤害仍取16。</x:v>
      </x:c>
      <x:c r="P36" s="64" t="str">
        <x:v>未开始</x:v>
      </x:c>
      <x:c r="Q36" s="73"/>
      <x:c r="R36" s="65" t="str"/>
    </x:row>
    <x:row r="37" ht="42" customHeight="1">
      <x:c r="A37" s="63" t="str">
        <x:v>P2-008</x:v>
      </x:c>
      <x:c r="B37" s="64" t="str">
        <x:v>阶段2 角色与枪战</x:v>
      </x:c>
      <x:c r="C37" s="64" t="str">
        <x:v>G2 单局战斗可验证</x:v>
      </x:c>
      <x:c r="D37" s="64" t="str">
        <x:v>客户端程序</x:v>
      </x:c>
      <x:c r="E37" s="64" t="str">
        <x:v>闪避</x:v>
      </x:c>
      <x:c r="F37" s="64" t="str">
        <x:v>实现闪避状态机与4米位移</x:v>
      </x:c>
      <x:c r="G37" s="64" t="str">
        <x:v>合法开始、方向锁定、碰撞截断、1.5秒冷却和行动限制。</x:v>
      </x:c>
      <x:c r="H37" s="64" t="str">
        <x:v>P0</x:v>
      </x:c>
      <x:c r="I37" s="64" t="str">
        <x:v>P1-002,P1-007,P2-004</x:v>
      </x:c>
      <x:c r="J37" s="64" t="str">
        <x:v>A2</x:v>
      </x:c>
      <x:c r="K37" s="70" t="n">
        <x:v>12</x:v>
      </x:c>
      <x:c r="L37" s="70" t="n">
        <x:v>18</x:v>
      </x:c>
      <x:c r="M37" s="64" t="str">
        <x:v>低</x:v>
      </x:c>
      <x:c r="N37" s="64" t="str">
        <x:v>程序预算</x:v>
      </x:c>
      <x:c r="O37" s="64" t="str">
        <x:v>闪避约0.67秒，位移约0.4秒；无输入采用摄像机水平前方。</x:v>
      </x:c>
      <x:c r="P37" s="64" t="str">
        <x:v>未开始</x:v>
      </x:c>
      <x:c r="Q37" s="73"/>
      <x:c r="R37" s="65" t="str"/>
    </x:row>
    <x:row r="38" ht="42" customHeight="1">
      <x:c r="A38" s="63" t="str">
        <x:v>P2-009</x:v>
      </x:c>
      <x:c r="B38" s="64" t="str">
        <x:v>阶段2 角色与枪战</x:v>
      </x:c>
      <x:c r="C38" s="64" t="str">
        <x:v>G2 单局战斗可验证</x:v>
      </x:c>
      <x:c r="D38" s="64" t="str">
        <x:v>客户端程序</x:v>
      </x:c>
      <x:c r="E38" s="64" t="str">
        <x:v>动画时序</x:v>
      </x:c>
      <x:c r="F38" s="64" t="str">
        <x:v>接入闪避动画事件与兜底</x:v>
      </x:c>
      <x:c r="G38" s="64" t="str">
        <x:v>第2帧开无敌、第6帧先关无敌再发左腿入口、结束事件恢复行动。</x:v>
      </x:c>
      <x:c r="H38" s="64" t="str">
        <x:v>P0</x:v>
      </x:c>
      <x:c r="I38" s="64" t="str">
        <x:v>P2-008</x:v>
      </x:c>
      <x:c r="J38" s="64" t="str">
        <x:v>A2</x:v>
      </x:c>
      <x:c r="K38" s="70" t="n">
        <x:v>10</x:v>
      </x:c>
      <x:c r="L38" s="70" t="n">
        <x:v>16</x:v>
      </x:c>
      <x:c r="M38" s="64" t="str">
        <x:v>低</x:v>
      </x:c>
      <x:c r="N38" s="64" t="str">
        <x:v>程序预算</x:v>
      </x:c>
      <x:c r="O38" s="64" t="str">
        <x:v>动作序号/Epoch不匹配的事件无效，超时兜底不能留下永久无敌。</x:v>
      </x:c>
      <x:c r="P38" s="64" t="str">
        <x:v>未开始</x:v>
      </x:c>
      <x:c r="Q38" s="73"/>
      <x:c r="R38" s="65" t="str"/>
    </x:row>
    <x:row r="39" ht="42" customHeight="1">
      <x:c r="A39" s="63" t="str">
        <x:v>P2-010</x:v>
      </x:c>
      <x:c r="B39" s="64" t="str">
        <x:v>阶段2 角色与枪战</x:v>
      </x:c>
      <x:c r="C39" s="64" t="str">
        <x:v>G2 单局战斗可验证</x:v>
      </x:c>
      <x:c r="D39" s="64" t="str">
        <x:v>客户端程序</x:v>
      </x:c>
      <x:c r="E39" s="64" t="str">
        <x:v>倒地</x:v>
      </x:c>
      <x:c r="F39" s="64" t="str">
        <x:v>重建倒地、处决和淘汰</x:v>
      </x:c>
      <x:c r="G39" s="64" t="str">
        <x:v>实现40%倒地生命、20秒流血、35%移速及倒地纹身隔离。</x:v>
      </x:c>
      <x:c r="H39" s="64" t="str">
        <x:v>P0</x:v>
      </x:c>
      <x:c r="I39" s="64" t="str">
        <x:v>P2-003,P2-004</x:v>
      </x:c>
      <x:c r="J39" s="64" t="str">
        <x:v>A2</x:v>
      </x:c>
      <x:c r="K39" s="70" t="n">
        <x:v>10</x:v>
      </x:c>
      <x:c r="L39" s="70" t="n">
        <x:v>16</x:v>
      </x:c>
      <x:c r="M39" s="64" t="str">
        <x:v>中</x:v>
      </x:c>
      <x:c r="N39" s="64" t="str">
        <x:v>程序预算</x:v>
      </x:c>
      <x:c r="O39" s="64" t="str">
        <x:v>倒地者只受普通攻击伤害，不触发/承受纹身、元素、护盾或控制效果。</x:v>
      </x:c>
      <x:c r="P39" s="64" t="str">
        <x:v>未开始</x:v>
      </x:c>
      <x:c r="Q39" s="73"/>
      <x:c r="R39" s="65" t="str"/>
    </x:row>
    <x:row r="40" ht="42" customHeight="1">
      <x:c r="A40" s="63" t="str">
        <x:v>P2-011</x:v>
      </x:c>
      <x:c r="B40" s="64" t="str">
        <x:v>阶段2 角色与枪战</x:v>
      </x:c>
      <x:c r="C40" s="64" t="str">
        <x:v>G2 单局战斗可验证</x:v>
      </x:c>
      <x:c r="D40" s="64" t="str">
        <x:v>客户端程序</x:v>
      </x:c>
      <x:c r="E40" s="64" t="str">
        <x:v>救援</x:v>
      </x:c>
      <x:c r="F40" s="64" t="str">
        <x:v>重建救援与保护</x:v>
      </x:c>
      <x:c r="G40" s="64" t="str">
        <x:v>实现同队3秒救援、30%生命、1秒保护及中断规则。</x:v>
      </x:c>
      <x:c r="H40" s="64" t="str">
        <x:v>P0</x:v>
      </x:c>
      <x:c r="I40" s="64" t="str">
        <x:v>P2-010</x:v>
      </x:c>
      <x:c r="J40" s="64" t="str">
        <x:v>A2</x:v>
      </x:c>
      <x:c r="K40" s="70" t="n">
        <x:v>8</x:v>
      </x:c>
      <x:c r="L40" s="70" t="n">
        <x:v>14</x:v>
      </x:c>
      <x:c r="M40" s="64" t="str">
        <x:v>中</x:v>
      </x:c>
      <x:c r="N40" s="64" t="str">
        <x:v>程序预算</x:v>
      </x:c>
      <x:c r="O40" s="64" t="str">
        <x:v>救援不能跨非法状态完成，保护不转化为护盾或正式治疗能力。</x:v>
      </x:c>
      <x:c r="P40" s="64" t="str">
        <x:v>未开始</x:v>
      </x:c>
      <x:c r="Q40" s="73"/>
      <x:c r="R40" s="65" t="str"/>
    </x:row>
    <x:row r="41" ht="42" customHeight="1">
      <x:c r="A41" s="63" t="str">
        <x:v>P2-012</x:v>
      </x:c>
      <x:c r="B41" s="64" t="str">
        <x:v>阶段2 角色与枪战</x:v>
      </x:c>
      <x:c r="C41" s="64" t="str">
        <x:v>G2 单局战斗可验证</x:v>
      </x:c>
      <x:c r="D41" s="64" t="str">
        <x:v>客户端程序</x:v>
      </x:c>
      <x:c r="E41" s="64" t="str">
        <x:v>开发辅助</x:v>
      </x:c>
      <x:c r="F41" s="64" t="str">
        <x:v>实现测试治疗按钮</x:v>
      </x:c>
      <x:c r="G41" s="64" t="str">
        <x:v>通过InputModule恢复本地玩家20%最大生命，成功后1秒冷却。</x:v>
      </x:c>
      <x:c r="H41" s="64" t="str">
        <x:v>P1</x:v>
      </x:c>
      <x:c r="I41" s="64" t="str">
        <x:v>P1-007,P2-003</x:v>
      </x:c>
      <x:c r="J41" s="64" t="str">
        <x:v>A2</x:v>
      </x:c>
      <x:c r="K41" s="70" t="n">
        <x:v>4</x:v>
      </x:c>
      <x:c r="L41" s="70" t="n">
        <x:v>8</x:v>
      </x:c>
      <x:c r="M41" s="64" t="str">
        <x:v>高</x:v>
      </x:c>
      <x:c r="N41" s="64" t="str">
        <x:v>程序预算</x:v>
      </x:c>
      <x:c r="O41" s="64" t="str">
        <x:v>满血/倒地/淘汰/构筑时无效且不进冷却，不触发成果、护盾、净化或联动。</x:v>
      </x:c>
      <x:c r="P41" s="64" t="str">
        <x:v>未开始</x:v>
      </x:c>
      <x:c r="Q41" s="73"/>
      <x:c r="R41" s="65" t="str"/>
    </x:row>
    <x:row r="42" ht="42" customHeight="1">
      <x:c r="A42" s="63" t="str">
        <x:v>P2-013</x:v>
      </x:c>
      <x:c r="B42" s="64" t="str">
        <x:v>阶段2 角色与枪战</x:v>
      </x:c>
      <x:c r="C42" s="64" t="str">
        <x:v>G2 单局战斗可验证</x:v>
      </x:c>
      <x:c r="D42" s="64" t="str">
        <x:v>客户端程序</x:v>
      </x:c>
      <x:c r="E42" s="64" t="str">
        <x:v>Bot战斗</x:v>
      </x:c>
      <x:c r="F42" s="64" t="str">
        <x:v>实现Bot独立瞄准与基础战斗</x:v>
      </x:c>
      <x:c r="G42" s="64" t="str">
        <x:v>以反应延迟、转向和误差控制强度，共用枪械与伤害规则。</x:v>
      </x:c>
      <x:c r="H42" s="64" t="str">
        <x:v>P0</x:v>
      </x:c>
      <x:c r="I42" s="64" t="str">
        <x:v>P1-008,P2-005,P2-006,P2-007</x:v>
      </x:c>
      <x:c r="J42" s="64" t="str">
        <x:v>A2</x:v>
      </x:c>
      <x:c r="K42" s="70" t="n">
        <x:v>12</x:v>
      </x:c>
      <x:c r="L42" s="70" t="n">
        <x:v>18</x:v>
      </x:c>
      <x:c r="M42" s="64" t="str">
        <x:v>低</x:v>
      </x:c>
      <x:c r="N42" s="64" t="str">
        <x:v>程序预算</x:v>
      </x:c>
      <x:c r="O42" s="64" t="str">
        <x:v>Bot不能穿墙、吸附或绕过冷却，难度参数可配置且固定seed可复现。</x:v>
      </x:c>
      <x:c r="P42" s="64" t="str">
        <x:v>未开始</x:v>
      </x:c>
      <x:c r="Q42" s="73"/>
      <x:c r="R42" s="65" t="str"/>
    </x:row>
    <x:row r="43" ht="42" customHeight="1">
      <x:c r="A43" s="63" t="str">
        <x:v>P2-014</x:v>
      </x:c>
      <x:c r="B43" s="64" t="str">
        <x:v>阶段2 角色与枪战</x:v>
      </x:c>
      <x:c r="C43" s="64" t="str">
        <x:v>G2 单局战斗可验证</x:v>
      </x:c>
      <x:c r="D43" s="64" t="str">
        <x:v>集成与阶段验收</x:v>
      </x:c>
      <x:c r="E43" s="64" t="str">
        <x:v>战斗测试</x:v>
      </x:c>
      <x:c r="F43" s="64" t="str">
        <x:v>建立枪战、闪避、倒地和救援测试</x:v>
      </x:c>
      <x:c r="G43" s="64" t="str">
        <x:v>覆盖数值、遮挡、友伤、动画事件过期、非法输入和Bot规则。</x:v>
      </x:c>
      <x:c r="H43" s="64" t="str">
        <x:v>P0</x:v>
      </x:c>
      <x:c r="I43" s="64" t="str">
        <x:v>P2-007,P2-009,P2-011,P2-012,P2-013</x:v>
      </x:c>
      <x:c r="J43" s="64" t="str">
        <x:v>A2</x:v>
      </x:c>
      <x:c r="K43" s="70" t="n">
        <x:v>12</x:v>
      </x:c>
      <x:c r="L43" s="70" t="n">
        <x:v>18</x:v>
      </x:c>
      <x:c r="M43" s="64" t="str">
        <x:v>中</x:v>
      </x:c>
      <x:c r="N43" s="64" t="str">
        <x:v>程序预算</x:v>
      </x:c>
      <x:c r="O43" s="64" t="str">
        <x:v>EditMode与PlayMode可稳定复现核心战斗，关键边界均有失败用例。</x:v>
      </x:c>
      <x:c r="P43" s="64" t="str">
        <x:v>未开始</x:v>
      </x:c>
      <x:c r="Q43" s="73"/>
      <x:c r="R43" s="65" t="str"/>
    </x:row>
    <x:row r="44" ht="42" customHeight="1">
      <x:c r="A44" s="63" t="str">
        <x:v>P2-015</x:v>
      </x:c>
      <x:c r="B44" s="64" t="str">
        <x:v>阶段2 角色与枪战</x:v>
      </x:c>
      <x:c r="C44" s="64" t="str">
        <x:v>G2 单局战斗可验证</x:v>
      </x:c>
      <x:c r="D44" s="64" t="str">
        <x:v>客户端程序</x:v>
      </x:c>
      <x:c r="E44" s="64" t="str">
        <x:v>旧链清理</x:v>
      </x:c>
      <x:c r="F44" s="64" t="str">
        <x:v>清理旧枪械、技能和角色战斗链</x:v>
      </x:c>
      <x:c r="G44" s="64" t="str">
        <x:v>新入口接管后删除目标锥、旧技能、旧武器模型和失效测试。</x:v>
      </x:c>
      <x:c r="H44" s="64" t="str">
        <x:v>P0</x:v>
      </x:c>
      <x:c r="I44" s="64" t="str">
        <x:v>P2-014,P0-009</x:v>
      </x:c>
      <x:c r="J44" s="64" t="str">
        <x:v>A2</x:v>
      </x:c>
      <x:c r="K44" s="70" t="n">
        <x:v>8</x:v>
      </x:c>
      <x:c r="L44" s="70" t="n">
        <x:v>14</x:v>
      </x:c>
      <x:c r="M44" s="64" t="str">
        <x:v>低</x:v>
      </x:c>
      <x:c r="N44" s="64" t="str">
        <x:v>程序预算</x:v>
      </x:c>
      <x:c r="O44" s="64" t="str">
        <x:v>代码、Prefab、配置和测试零引用，无Missing Script且新战斗回归通过。</x:v>
      </x:c>
      <x:c r="P44" s="64" t="str">
        <x:v>未开始</x:v>
      </x:c>
      <x:c r="Q44" s="73"/>
      <x:c r="R44" s="65" t="str"/>
    </x:row>
    <x:row r="45" ht="42" customHeight="1">
      <x:c r="A45" s="63" t="str">
        <x:v>G2-001</x:v>
      </x:c>
      <x:c r="B45" s="64" t="str">
        <x:v>阶段2 角色与枪战</x:v>
      </x:c>
      <x:c r="C45" s="64" t="str">
        <x:v>G2 单局战斗可验证</x:v>
      </x:c>
      <x:c r="D45" s="64" t="str">
        <x:v>集成与阶段验收</x:v>
      </x:c>
      <x:c r="E45" s="64" t="str">
        <x:v>阶段验收</x:v>
      </x:c>
      <x:c r="F45" s="64" t="str">
        <x:v>单局战斗验收</x:v>
      </x:c>
      <x:c r="G45" s="64" t="str">
        <x:v>在OasisCity运行六人枪战、闪避、倒地救援和Bot smoke。</x:v>
      </x:c>
      <x:c r="H45" s="64" t="str">
        <x:v>P0</x:v>
      </x:c>
      <x:c r="I45" s="64" t="str">
        <x:v>P2-002,P2-014,P2-015</x:v>
      </x:c>
      <x:c r="J45" s="64" t="str">
        <x:v>G2</x:v>
      </x:c>
      <x:c r="K45" s="70" t="n">
        <x:v>8</x:v>
      </x:c>
      <x:c r="L45" s="70" t="n">
        <x:v>14</x:v>
      </x:c>
      <x:c r="M45" s="64" t="str">
        <x:v>高</x:v>
      </x:c>
      <x:c r="N45" s="64" t="str">
        <x:v>程序预算</x:v>
      </x:c>
      <x:c r="O45" s="64" t="str">
        <x:v>基础枪战规则与策划一致，自动化通过且旧战斗链退出运行。</x:v>
      </x:c>
      <x:c r="P45" s="64" t="str">
        <x:v>未开始</x:v>
      </x:c>
      <x:c r="Q45" s="73"/>
      <x:c r="R45" s="65" t="str"/>
    </x:row>
    <x:row r="46" ht="42" customHeight="1">
      <x:c r="A46" s="63" t="str">
        <x:v>P3-001</x:v>
      </x:c>
      <x:c r="B46" s="64" t="str">
        <x:v>阶段3 纹身与元素</x:v>
      </x:c>
      <x:c r="C46" s="64" t="str">
        <x:v>G3 构筑效果闭环</x:v>
      </x:c>
      <x:c r="D46" s="64" t="str">
        <x:v>客户端程序</x:v>
      </x:c>
      <x:c r="E46" s="64" t="str">
        <x:v>阶段隔离</x:v>
      </x:c>
      <x:c r="F46" s="64" t="str">
        <x:v>实现PhaseEpoch生命周期</x:v>
      </x:c>
      <x:c r="G46" s="64" t="str">
        <x:v>每个战斗阶段生成单调Epoch，延迟与异步事件执行前校验。</x:v>
      </x:c>
      <x:c r="H46" s="64" t="str">
        <x:v>P0</x:v>
      </x:c>
      <x:c r="I46" s="64" t="str">
        <x:v>G2-001,P1-002</x:v>
      </x:c>
      <x:c r="J46" s="64" t="str">
        <x:v>A3</x:v>
      </x:c>
      <x:c r="K46" s="70" t="n">
        <x:v>10</x:v>
      </x:c>
      <x:c r="L46" s="70" t="n">
        <x:v>16</x:v>
      </x:c>
      <x:c r="M46" s="64" t="str">
        <x:v>中</x:v>
      </x:c>
      <x:c r="N46" s="64" t="str">
        <x:v>程序预算</x:v>
      </x:c>
      <x:c r="O46" s="64" t="str">
        <x:v>进入构筑后旧Epoch逻辑事件不生效，当前原子结算先完成。</x:v>
      </x:c>
      <x:c r="P46" s="64" t="str">
        <x:v>未开始</x:v>
      </x:c>
      <x:c r="Q46" s="73"/>
      <x:c r="R46" s="65" t="str"/>
    </x:row>
    <x:row r="47" ht="42" customHeight="1">
      <x:c r="A47" s="63" t="str">
        <x:v>P3-002</x:v>
      </x:c>
      <x:c r="B47" s="64" t="str">
        <x:v>阶段3 纹身与元素</x:v>
      </x:c>
      <x:c r="C47" s="64" t="str">
        <x:v>G3 构筑效果闭环</x:v>
      </x:c>
      <x:c r="D47" s="64" t="str">
        <x:v>客户端程序</x:v>
      </x:c>
      <x:c r="E47" s="64" t="str">
        <x:v>事件队列</x:v>
      </x:c>
      <x:c r="F47" s="64" t="str">
        <x:v>重建优先级效果队列</x:v>
      </x:c>
      <x:c r="G47" s="64" t="str">
        <x:v>按事件优先级入队，同级按seed稳定随机并逐项延迟表现。</x:v>
      </x:c>
      <x:c r="H47" s="64" t="str">
        <x:v>P0</x:v>
      </x:c>
      <x:c r="I47" s="64" t="str">
        <x:v>P1-005,P3-001</x:v>
      </x:c>
      <x:c r="J47" s="64" t="str">
        <x:v>A3</x:v>
      </x:c>
      <x:c r="K47" s="70" t="n">
        <x:v>12</x:v>
      </x:c>
      <x:c r="L47" s="70" t="n">
        <x:v>18</x:v>
      </x:c>
      <x:c r="M47" s="64" t="str">
        <x:v>低</x:v>
      </x:c>
      <x:c r="N47" s="64" t="str">
        <x:v>程序预算</x:v>
      </x:c>
      <x:c r="O47" s="64" t="str">
        <x:v>同输入/seed结果一致，表现延迟不改变逻辑顺序。</x:v>
      </x:c>
      <x:c r="P47" s="64" t="str">
        <x:v>未开始</x:v>
      </x:c>
      <x:c r="Q47" s="73"/>
      <x:c r="R47" s="65" t="str"/>
    </x:row>
    <x:row r="48" ht="42" customHeight="1">
      <x:c r="A48" s="63" t="str">
        <x:v>P3-003</x:v>
      </x:c>
      <x:c r="B48" s="64" t="str">
        <x:v>阶段3 纹身与元素</x:v>
      </x:c>
      <x:c r="C48" s="64" t="str">
        <x:v>G3 构筑效果闭环</x:v>
      </x:c>
      <x:c r="D48" s="64" t="str">
        <x:v>客户端程序</x:v>
      </x:c>
      <x:c r="E48" s="64" t="str">
        <x:v>冷却</x:v>
      </x:c>
      <x:c r="F48" s="64" t="str">
        <x:v>实现12项独立冷却注册表</x:v>
      </x:c>
      <x:c r="G48" s="64" t="str">
        <x:v>每个图案×部位独立配置，构筑结束统一刷新。</x:v>
      </x:c>
      <x:c r="H48" s="64" t="str">
        <x:v>P0</x:v>
      </x:c>
      <x:c r="I48" s="64" t="str">
        <x:v>P1-004,P3-001</x:v>
      </x:c>
      <x:c r="J48" s="64" t="str">
        <x:v>A3</x:v>
      </x:c>
      <x:c r="K48" s="70" t="n">
        <x:v>8</x:v>
      </x:c>
      <x:c r="L48" s="70" t="n">
        <x:v>14</x:v>
      </x:c>
      <x:c r="M48" s="64" t="str">
        <x:v>中</x:v>
      </x:c>
      <x:c r="N48" s="64" t="str">
        <x:v>程序预算</x:v>
      </x:c>
      <x:c r="O48" s="64" t="str">
        <x:v>左臂主动冷却和其他部位冷却共用框架但互不覆盖。</x:v>
      </x:c>
      <x:c r="P48" s="64" t="str">
        <x:v>未开始</x:v>
      </x:c>
      <x:c r="Q48" s="73"/>
      <x:c r="R48" s="65" t="str"/>
    </x:row>
    <x:row r="49" ht="42" customHeight="1">
      <x:c r="A49" s="63" t="str">
        <x:v>P3-004</x:v>
      </x:c>
      <x:c r="B49" s="64" t="str">
        <x:v>阶段3 纹身与元素</x:v>
      </x:c>
      <x:c r="C49" s="64" t="str">
        <x:v>G3 构筑效果闭环</x:v>
      </x:c>
      <x:c r="D49" s="64" t="str">
        <x:v>客户端程序</x:v>
      </x:c>
      <x:c r="E49" s="64" t="str">
        <x:v>装备</x:v>
      </x:c>
      <x:c r="F49" s="64" t="str">
        <x:v>重建纹身装备事务</x:v>
      </x:c>
      <x:c r="G49" s="64" t="str">
        <x:v>仅构筑期装备/替换/拆除，成本10、返还6并原子提交。</x:v>
      </x:c>
      <x:c r="H49" s="64" t="str">
        <x:v>P0</x:v>
      </x:c>
      <x:c r="I49" s="64" t="str">
        <x:v>P1-006,P3-003</x:v>
      </x:c>
      <x:c r="J49" s="64" t="str">
        <x:v>A3</x:v>
      </x:c>
      <x:c r="K49" s="70" t="n">
        <x:v>10</x:v>
      </x:c>
      <x:c r="L49" s="70" t="n">
        <x:v>16</x:v>
      </x:c>
      <x:c r="M49" s="64" t="str">
        <x:v>中</x:v>
      </x:c>
      <x:c r="N49" s="64" t="str">
        <x:v>程序预算</x:v>
      </x:c>
      <x:c r="O49" s="64" t="str">
        <x:v>失败不扣资源、不改冷却，战斗期修改被拒绝。</x:v>
      </x:c>
      <x:c r="P49" s="64" t="str">
        <x:v>未开始</x:v>
      </x:c>
      <x:c r="Q49" s="73"/>
      <x:c r="R49" s="65" t="str"/>
    </x:row>
    <x:row r="50" ht="42" customHeight="1">
      <x:c r="A50" s="63" t="str">
        <x:v>P3-005</x:v>
      </x:c>
      <x:c r="B50" s="64" t="str">
        <x:v>阶段3 纹身与元素</x:v>
      </x:c>
      <x:c r="C50" s="64" t="str">
        <x:v>G3 构筑效果闭环</x:v>
      </x:c>
      <x:c r="D50" s="64" t="str">
        <x:v>客户端程序</x:v>
      </x:c>
      <x:c r="E50" s="64" t="str">
        <x:v>头部效果</x:v>
      </x:c>
      <x:c r="F50" s="64" t="str">
        <x:v>实现P01/P02头部效果</x:v>
      </x:c>
      <x:c r="G50" s="64" t="str">
        <x:v>实现单体易伤标记与范围元素揭示及其遮挡、冷却和队伍规则。</x:v>
      </x:c>
      <x:c r="H50" s="64" t="str">
        <x:v>P0</x:v>
      </x:c>
      <x:c r="I50" s="64" t="str">
        <x:v>P3-002,P3-003</x:v>
      </x:c>
      <x:c r="J50" s="64" t="str">
        <x:v>A3E</x:v>
      </x:c>
      <x:c r="K50" s="70" t="n">
        <x:v>12</x:v>
      </x:c>
      <x:c r="L50" s="70" t="n">
        <x:v>18</x:v>
      </x:c>
      <x:c r="M50" s="64" t="str">
        <x:v>低</x:v>
      </x:c>
      <x:c r="N50" s="64" t="str">
        <x:v>程序预算</x:v>
      </x:c>
      <x:c r="O50" s="64" t="str">
        <x:v>弱点命中触发者正确，P01/P02效果、目标和成果符合04A规格。</x:v>
      </x:c>
      <x:c r="P50" s="64" t="str">
        <x:v>未开始</x:v>
      </x:c>
      <x:c r="Q50" s="73"/>
      <x:c r="R50" s="65" t="str"/>
    </x:row>
    <x:row r="51" ht="42" customHeight="1">
      <x:c r="A51" s="63" t="str">
        <x:v>P3-006</x:v>
      </x:c>
      <x:c r="B51" s="64" t="str">
        <x:v>阶段3 纹身与元素</x:v>
      </x:c>
      <x:c r="C51" s="64" t="str">
        <x:v>G3 构筑效果闭环</x:v>
      </x:c>
      <x:c r="D51" s="64" t="str">
        <x:v>客户端程序</x:v>
      </x:c>
      <x:c r="E51" s="64" t="str">
        <x:v>右臂效果</x:v>
      </x:c>
      <x:c r="F51" s="64" t="str">
        <x:v>实现P01/P02普攻效果</x:v>
      </x:c>
      <x:c r="G51" s="64" t="str">
        <x:v>只在普攻造成有效直接伤害后触发单体/范围元素效果。</x:v>
      </x:c>
      <x:c r="H51" s="64" t="str">
        <x:v>P0</x:v>
      </x:c>
      <x:c r="I51" s="64" t="str">
        <x:v>P3-002,P3-003</x:v>
      </x:c>
      <x:c r="J51" s="64" t="str">
        <x:v>A3E</x:v>
      </x:c>
      <x:c r="K51" s="70" t="n">
        <x:v>10</x:v>
      </x:c>
      <x:c r="L51" s="70" t="n">
        <x:v>16</x:v>
      </x:c>
      <x:c r="M51" s="64" t="str">
        <x:v>低</x:v>
      </x:c>
      <x:c r="N51" s="64" t="str">
        <x:v>程序预算</x:v>
      </x:c>
      <x:c r="O51" s="64" t="str">
        <x:v>无效伤害、队友、倒地非法目标和间接伤害均不触发。</x:v>
      </x:c>
      <x:c r="P51" s="64" t="str">
        <x:v>未开始</x:v>
      </x:c>
      <x:c r="Q51" s="73"/>
      <x:c r="R51" s="65" t="str"/>
    </x:row>
    <x:row r="52" ht="42" customHeight="1">
      <x:c r="A52" s="63" t="str">
        <x:v>P3-007</x:v>
      </x:c>
      <x:c r="B52" s="64" t="str">
        <x:v>阶段3 纹身与元素</x:v>
      </x:c>
      <x:c r="C52" s="64" t="str">
        <x:v>G3 构筑效果闭环</x:v>
      </x:c>
      <x:c r="D52" s="64" t="str">
        <x:v>客户端程序</x:v>
      </x:c>
      <x:c r="E52" s="64" t="str">
        <x:v>左臂技能</x:v>
      </x:c>
      <x:c r="F52" s="64" t="str">
        <x:v>实现P01单体主动技能</x:v>
      </x:c>
      <x:c r="G52" s="64" t="str">
        <x:v>激活后瞄准30米视线可达敌方，左键触发、右键取消、10秒冷却。</x:v>
      </x:c>
      <x:c r="H52" s="64" t="str">
        <x:v>P0</x:v>
      </x:c>
      <x:c r="I52" s="64" t="str">
        <x:v>P1-007,P3-002,P3-003</x:v>
      </x:c>
      <x:c r="J52" s="64" t="str">
        <x:v>A3E</x:v>
      </x:c>
      <x:c r="K52" s="70" t="n">
        <x:v>10</x:v>
      </x:c>
      <x:c r="L52" s="70" t="n">
        <x:v>16</x:v>
      </x:c>
      <x:c r="M52" s="64" t="str">
        <x:v>中</x:v>
      </x:c>
      <x:c r="N52" s="64" t="str">
        <x:v>程序预算</x:v>
      </x:c>
      <x:c r="O52" s="64" t="str">
        <x:v>触发造成1.0倍直接元素伤害与1层元素；取消不进冷却且不能穿墙。</x:v>
      </x:c>
      <x:c r="P52" s="64" t="str">
        <x:v>未开始</x:v>
      </x:c>
      <x:c r="Q52" s="73"/>
      <x:c r="R52" s="65" t="str"/>
    </x:row>
    <x:row r="53" ht="42" customHeight="1">
      <x:c r="A53" s="63" t="str">
        <x:v>P3-008</x:v>
      </x:c>
      <x:c r="B53" s="64" t="str">
        <x:v>阶段3 纹身与元素</x:v>
      </x:c>
      <x:c r="C53" s="64" t="str">
        <x:v>G3 构筑效果闭环</x:v>
      </x:c>
      <x:c r="D53" s="64" t="str">
        <x:v>客户端程序</x:v>
      </x:c>
      <x:c r="E53" s="64" t="str">
        <x:v>左臂技能</x:v>
      </x:c>
      <x:c r="F53" s="64" t="str">
        <x:v>实现P02范围主动技能</x:v>
      </x:c>
      <x:c r="G53" s="64" t="str">
        <x:v>20米内选点，对3米范围全部未遮挡合法敌人结算。</x:v>
      </x:c>
      <x:c r="H53" s="64" t="str">
        <x:v>P0</x:v>
      </x:c>
      <x:c r="I53" s="64" t="str">
        <x:v>P1-007,P3-002,P3-003</x:v>
      </x:c>
      <x:c r="J53" s="64" t="str">
        <x:v>A3E</x:v>
      </x:c>
      <x:c r="K53" s="70" t="n">
        <x:v>12</x:v>
      </x:c>
      <x:c r="L53" s="70" t="n">
        <x:v>18</x:v>
      </x:c>
      <x:c r="M53" s="64" t="str">
        <x:v>中</x:v>
      </x:c>
      <x:c r="N53" s="64" t="str">
        <x:v>程序预算</x:v>
      </x:c>
      <x:c r="O53" s="64" t="str">
        <x:v>每目标0.4倍直接元素伤害与1层元素；选点/触发/取消边界明确。</x:v>
      </x:c>
      <x:c r="P53" s="64" t="str">
        <x:v>未开始</x:v>
      </x:c>
      <x:c r="Q53" s="73"/>
      <x:c r="R53" s="65" t="str"/>
    </x:row>
    <x:row r="54" ht="42" customHeight="1">
      <x:c r="A54" s="63" t="str">
        <x:v>P3-009</x:v>
      </x:c>
      <x:c r="B54" s="64" t="str">
        <x:v>阶段3 纹身与元素</x:v>
      </x:c>
      <x:c r="C54" s="64" t="str">
        <x:v>G3 构筑效果闭环</x:v>
      </x:c>
      <x:c r="D54" s="64" t="str">
        <x:v>客户端程序</x:v>
      </x:c>
      <x:c r="E54" s="64" t="str">
        <x:v>躯干效果</x:v>
      </x:c>
      <x:c r="F54" s="64" t="str">
        <x:v>实现P01/P02受击效果</x:v>
      </x:c>
      <x:c r="G54" s="64" t="str">
        <x:v>按04A规格实现临时护盾与范围反击，不作用倒地玩家。</x:v>
      </x:c>
      <x:c r="H54" s="64" t="str">
        <x:v>P0</x:v>
      </x:c>
      <x:c r="I54" s="64" t="str">
        <x:v>P3-002,P3-003</x:v>
      </x:c>
      <x:c r="J54" s="64" t="str">
        <x:v>A3E</x:v>
      </x:c>
      <x:c r="K54" s="70" t="n">
        <x:v>10</x:v>
      </x:c>
      <x:c r="L54" s="70" t="n">
        <x:v>16</x:v>
      </x:c>
      <x:c r="M54" s="64" t="str">
        <x:v>低</x:v>
      </x:c>
      <x:c r="N54" s="64" t="str">
        <x:v>程序预算</x:v>
      </x:c>
      <x:c r="O54" s="64" t="str">
        <x:v>护盾时长/覆盖规则、范围遮挡、伤害分类和冷却均可测试。</x:v>
      </x:c>
      <x:c r="P54" s="64" t="str">
        <x:v>未开始</x:v>
      </x:c>
      <x:c r="Q54" s="73"/>
      <x:c r="R54" s="65" t="str"/>
    </x:row>
    <x:row r="55" ht="42" customHeight="1">
      <x:c r="A55" s="63" t="str">
        <x:v>P3-010</x:v>
      </x:c>
      <x:c r="B55" s="64" t="str">
        <x:v>阶段3 纹身与元素</x:v>
      </x:c>
      <x:c r="C55" s="64" t="str">
        <x:v>G3 构筑效果闭环</x:v>
      </x:c>
      <x:c r="D55" s="64" t="str">
        <x:v>客户端程序</x:v>
      </x:c>
      <x:c r="E55" s="64" t="str">
        <x:v>左腿效果</x:v>
      </x:c>
      <x:c r="F55" s="64" t="str">
        <x:v>实现P01/P02闪避效果</x:v>
      </x:c>
      <x:c r="G55" s="64" t="str">
        <x:v>只由闪避第6帧入口触发单体/范围效果。</x:v>
      </x:c>
      <x:c r="H55" s="64" t="str">
        <x:v>P0</x:v>
      </x:c>
      <x:c r="I55" s="64" t="str">
        <x:v>P2-009,P3-002,P3-003</x:v>
      </x:c>
      <x:c r="J55" s="64" t="str">
        <x:v>A3E</x:v>
      </x:c>
      <x:c r="K55" s="70" t="n">
        <x:v>10</x:v>
      </x:c>
      <x:c r="L55" s="70" t="n">
        <x:v>16</x:v>
      </x:c>
      <x:c r="M55" s="64" t="str">
        <x:v>低</x:v>
      </x:c>
      <x:c r="N55" s="64" t="str">
        <x:v>程序预算</x:v>
      </x:c>
      <x:c r="O55" s="64" t="str">
        <x:v>闪避开始或结束不会重复触发，旧动画事件和倒地状态无效。</x:v>
      </x:c>
      <x:c r="P55" s="64" t="str">
        <x:v>未开始</x:v>
      </x:c>
      <x:c r="Q55" s="73"/>
      <x:c r="R55" s="65" t="str"/>
    </x:row>
    <x:row r="56" ht="42" customHeight="1">
      <x:c r="A56" s="63" t="str">
        <x:v>P3-011</x:v>
      </x:c>
      <x:c r="B56" s="64" t="str">
        <x:v>阶段3 纹身与元素</x:v>
      </x:c>
      <x:c r="C56" s="64" t="str">
        <x:v>G3 构筑效果闭环</x:v>
      </x:c>
      <x:c r="D56" s="64" t="str">
        <x:v>客户端程序</x:v>
      </x:c>
      <x:c r="E56" s="64" t="str">
        <x:v>右腿能量</x:v>
      </x:c>
      <x:c r="F56" s="64" t="str">
        <x:v>实现普通移动蓄能与P01释放</x:v>
      </x:c>
      <x:c r="G56" s="64" t="str">
        <x:v>只按普通平面位移积攒，50～100点由下次有效普攻释放。</x:v>
      </x:c>
      <x:c r="H56" s="64" t="str">
        <x:v>P0</x:v>
      </x:c>
      <x:c r="I56" s="64" t="str">
        <x:v>P2-004,P3-002,P3-003</x:v>
      </x:c>
      <x:c r="J56" s="64" t="str">
        <x:v>A3E</x:v>
      </x:c>
      <x:c r="K56" s="70" t="n">
        <x:v>12</x:v>
      </x:c>
      <x:c r="L56" s="70" t="n">
        <x:v>18</x:v>
      </x:c>
      <x:c r="M56" s="64" t="str">
        <x:v>低</x:v>
      </x:c>
      <x:c r="N56" s="64" t="str">
        <x:v>程序预算</x:v>
      </x:c>
      <x:c r="O56" s="64" t="str">
        <x:v>闪避/击退不积能，P01伤害从0.3倍线性到0.9倍并正确清空。</x:v>
      </x:c>
      <x:c r="P56" s="64" t="str">
        <x:v>未开始</x:v>
      </x:c>
      <x:c r="Q56" s="73"/>
      <x:c r="R56" s="65" t="str"/>
    </x:row>
    <x:row r="57" ht="42" customHeight="1">
      <x:c r="A57" s="63" t="str">
        <x:v>P3-012</x:v>
      </x:c>
      <x:c r="B57" s="64" t="str">
        <x:v>阶段3 纹身与元素</x:v>
      </x:c>
      <x:c r="C57" s="64" t="str">
        <x:v>G3 构筑效果闭环</x:v>
      </x:c>
      <x:c r="D57" s="64" t="str">
        <x:v>客户端程序</x:v>
      </x:c>
      <x:c r="E57" s="64" t="str">
        <x:v>右腿能量</x:v>
      </x:c>
      <x:c r="F57" s="64" t="str">
        <x:v>实现P02范围冲击</x:v>
      </x:c>
      <x:c r="G57" s="64" t="str">
        <x:v>按能量计算半径、每目标伤害和满能量轻微击退。</x:v>
      </x:c>
      <x:c r="H57" s="64" t="str">
        <x:v>P0</x:v>
      </x:c>
      <x:c r="I57" s="64" t="str">
        <x:v>P3-011</x:v>
      </x:c>
      <x:c r="J57" s="64" t="str">
        <x:v>A3E</x:v>
      </x:c>
      <x:c r="K57" s="70" t="n">
        <x:v>10</x:v>
      </x:c>
      <x:c r="L57" s="70" t="n">
        <x:v>16</x:v>
      </x:c>
      <x:c r="M57" s="64" t="str">
        <x:v>低</x:v>
      </x:c>
      <x:c r="N57" s="64" t="str">
        <x:v>程序预算</x:v>
      </x:c>
      <x:c r="O57" s="64" t="str">
        <x:v>范围伤害从规格线性变化，满能量击退低于0.75米且不穿遮挡。</x:v>
      </x:c>
      <x:c r="P57" s="64" t="str">
        <x:v>未开始</x:v>
      </x:c>
      <x:c r="Q57" s="73"/>
      <x:c r="R57" s="65" t="str"/>
    </x:row>
    <x:row r="58" ht="42" customHeight="1">
      <x:c r="A58" s="63" t="str">
        <x:v>P3-013</x:v>
      </x:c>
      <x:c r="B58" s="64" t="str">
        <x:v>阶段3 纹身与元素</x:v>
      </x:c>
      <x:c r="C58" s="64" t="str">
        <x:v>G3 构筑效果闭环</x:v>
      </x:c>
      <x:c r="D58" s="64" t="str">
        <x:v>客户端程序</x:v>
      </x:c>
      <x:c r="E58" s="64" t="str">
        <x:v>元素状态</x:v>
      </x:c>
      <x:c r="F58" s="64" t="str">
        <x:v>实现三层元素状态与来源</x:v>
      </x:c>
      <x:c r="G58" s="64" t="str">
        <x:v>弱/标准/强、同元素刷新持续时间、每3秒降层。</x:v>
      </x:c>
      <x:c r="H58" s="64" t="str">
        <x:v>P0</x:v>
      </x:c>
      <x:c r="I58" s="64" t="str">
        <x:v>P1-005,P3-001</x:v>
      </x:c>
      <x:c r="J58" s="64" t="str">
        <x:v>A3X</x:v>
      </x:c>
      <x:c r="K58" s="70" t="n">
        <x:v>10</x:v>
      </x:c>
      <x:c r="L58" s="70" t="n">
        <x:v>16</x:v>
      </x:c>
      <x:c r="M58" s="64" t="str">
        <x:v>中</x:v>
      </x:c>
      <x:c r="N58" s="64" t="str">
        <x:v>程序预算</x:v>
      </x:c>
      <x:c r="O58" s="64" t="str">
        <x:v>状态携带来源，降层和刷新确定性，倒地者不能获得元素。</x:v>
      </x:c>
      <x:c r="P58" s="64" t="str">
        <x:v>未开始</x:v>
      </x:c>
      <x:c r="Q58" s="73"/>
      <x:c r="R58" s="65" t="str"/>
    </x:row>
    <x:row r="59" ht="42" customHeight="1">
      <x:c r="A59" s="63" t="str">
        <x:v>P3-014</x:v>
      </x:c>
      <x:c r="B59" s="64" t="str">
        <x:v>阶段3 纹身与元素</x:v>
      </x:c>
      <x:c r="C59" s="64" t="str">
        <x:v>G3 构筑效果闭环</x:v>
      </x:c>
      <x:c r="D59" s="64" t="str">
        <x:v>客户端程序</x:v>
      </x:c>
      <x:c r="E59" s="64" t="str">
        <x:v>元素特性</x:v>
      </x:c>
      <x:c r="F59" s="64" t="str">
        <x:v>实现火冰雷固有特性</x:v>
      </x:c>
      <x:c r="G59" s="64" t="str">
        <x:v>火0.5秒tick、冰12/20/28%减速、雷受有效直伤后0.5秒放电。</x:v>
      </x:c>
      <x:c r="H59" s="64" t="str">
        <x:v>P0</x:v>
      </x:c>
      <x:c r="I59" s="64" t="str">
        <x:v>P3-002,P3-013</x:v>
      </x:c>
      <x:c r="J59" s="64" t="str">
        <x:v>A3X</x:v>
      </x:c>
      <x:c r="K59" s="70" t="n">
        <x:v>12</x:v>
      </x:c>
      <x:c r="L59" s="70" t="n">
        <x:v>18</x:v>
      </x:c>
      <x:c r="M59" s="64" t="str">
        <x:v>低</x:v>
      </x:c>
      <x:c r="N59" s="64" t="str">
        <x:v>程序预算</x:v>
      </x:c>
      <x:c r="O59" s="64" t="str">
        <x:v>三种特性数值、来源、伤害分类和频率与策划一致。</x:v>
      </x:c>
      <x:c r="P59" s="64" t="str">
        <x:v>未开始</x:v>
      </x:c>
      <x:c r="Q59" s="73"/>
      <x:c r="R59" s="65" t="str"/>
    </x:row>
    <x:row r="60" ht="42" customHeight="1">
      <x:c r="A60" s="63" t="str">
        <x:v>P3-015</x:v>
      </x:c>
      <x:c r="B60" s="64" t="str">
        <x:v>阶段3 纹身与元素</x:v>
      </x:c>
      <x:c r="C60" s="64" t="str">
        <x:v>G3 构筑效果闭环</x:v>
      </x:c>
      <x:c r="D60" s="64" t="str">
        <x:v>客户端程序</x:v>
      </x:c>
      <x:c r="E60" s="64" t="str">
        <x:v>元素反应</x:v>
      </x:c>
      <x:c r="F60" s="64" t="str">
        <x:v>实现热冲击、过载和停滞</x:v>
      </x:c>
      <x:c r="G60" s="64" t="str">
        <x:v>反应消耗一层，无全局冷却，按队列与遮挡结算。</x:v>
      </x:c>
      <x:c r="H60" s="64" t="str">
        <x:v>P0</x:v>
      </x:c>
      <x:c r="I60" s="64" t="str">
        <x:v>P3-002,P3-013,P3-014</x:v>
      </x:c>
      <x:c r="J60" s="64" t="str">
        <x:v>A3X</x:v>
      </x:c>
      <x:c r="K60" s="70" t="n">
        <x:v>12</x:v>
      </x:c>
      <x:c r="L60" s="70" t="n">
        <x:v>18</x:v>
      </x:c>
      <x:c r="M60" s="64" t="str">
        <x:v>低</x:v>
      </x:c>
      <x:c r="N60" s="64" t="str">
        <x:v>程序预算</x:v>
      </x:c>
      <x:c r="O60" s="64" t="str">
        <x:v>三反应结果、层级降低、弱层消失和击杀来源可重复验证。</x:v>
      </x:c>
      <x:c r="P60" s="64" t="str">
        <x:v>未开始</x:v>
      </x:c>
      <x:c r="Q60" s="73"/>
      <x:c r="R60" s="65" t="str"/>
    </x:row>
    <x:row r="61" ht="42" customHeight="1">
      <x:c r="A61" s="63" t="str">
        <x:v>P3-016</x:v>
      </x:c>
      <x:c r="B61" s="64" t="str">
        <x:v>阶段3 纹身与元素</x:v>
      </x:c>
      <x:c r="C61" s="64" t="str">
        <x:v>G3 构筑效果闭环</x:v>
      </x:c>
      <x:c r="D61" s="64" t="str">
        <x:v>客户端程序</x:v>
      </x:c>
      <x:c r="E61" s="64" t="str">
        <x:v>成果归因</x:v>
      </x:c>
      <x:c r="F61" s="64" t="str">
        <x:v>实现直接/间接伤害与多方成果</x:v>
      </x:c>
      <x:c r="G61" s="64" t="str">
        <x:v>记录触发者、辅助者、间接元素伤害、控制、护盾、救援和资源分享。</x:v>
      </x:c>
      <x:c r="H61" s="64" t="str">
        <x:v>P0</x:v>
      </x:c>
      <x:c r="I61" s="64" t="str">
        <x:v>P3-002,P3-015</x:v>
      </x:c>
      <x:c r="J61" s="64" t="str">
        <x:v>A3X</x:v>
      </x:c>
      <x:c r="K61" s="70" t="n">
        <x:v>12</x:v>
      </x:c>
      <x:c r="L61" s="70" t="n">
        <x:v>18</x:v>
      </x:c>
      <x:c r="M61" s="64" t="str">
        <x:v>低</x:v>
      </x:c>
      <x:c r="N61" s="64" t="str">
        <x:v>程序预算</x:v>
      </x:c>
      <x:c r="O61" s="64" t="str">
        <x:v>反应击杀归触发者，多方显示相同间接伤害值且不重复计入总伤害。</x:v>
      </x:c>
      <x:c r="P61" s="64" t="str">
        <x:v>未开始</x:v>
      </x:c>
      <x:c r="Q61" s="73"/>
      <x:c r="R61" s="65" t="str"/>
    </x:row>
    <x:row r="62" ht="42" customHeight="1">
      <x:c r="A62" s="63" t="str">
        <x:v>P3-017</x:v>
      </x:c>
      <x:c r="B62" s="64" t="str">
        <x:v>阶段3 纹身与元素</x:v>
      </x:c>
      <x:c r="C62" s="64" t="str">
        <x:v>G3 构筑效果闭环</x:v>
      </x:c>
      <x:c r="D62" s="64" t="str">
        <x:v>客户端程序</x:v>
      </x:c>
      <x:c r="E62" s="64" t="str">
        <x:v>构筑边界</x:v>
      </x:c>
      <x:c r="F62" s="64" t="str">
        <x:v>实现临时状态统一清理</x:v>
      </x:c>
      <x:c r="G62" s="64" t="str">
        <x:v>进入构筑清除元素、Buff/Debuff、临时盾、标记、瞄准和闪避窗口。</x:v>
      </x:c>
      <x:c r="H62" s="64" t="str">
        <x:v>P0</x:v>
      </x:c>
      <x:c r="I62" s="64" t="str">
        <x:v>P3-001,P3-003,P3-013,P3-015</x:v>
      </x:c>
      <x:c r="J62" s="64" t="str">
        <x:v>A3</x:v>
      </x:c>
      <x:c r="K62" s="70" t="n">
        <x:v>10</x:v>
      </x:c>
      <x:c r="L62" s="70" t="n">
        <x:v>16</x:v>
      </x:c>
      <x:c r="M62" s="64" t="str">
        <x:v>中</x:v>
      </x:c>
      <x:c r="N62" s="64" t="str">
        <x:v>程序预算</x:v>
      </x:c>
      <x:c r="O62" s="64" t="str">
        <x:v>生命不恢复、玩家不复活、局内永久强化保留，旧延迟逻辑全部失效。</x:v>
      </x:c>
      <x:c r="P62" s="64" t="str">
        <x:v>未开始</x:v>
      </x:c>
      <x:c r="Q62" s="73"/>
      <x:c r="R62" s="65" t="str"/>
    </x:row>
    <x:row r="63" ht="42" customHeight="1">
      <x:c r="A63" s="63" t="str">
        <x:v>P3-018</x:v>
      </x:c>
      <x:c r="B63" s="64" t="str">
        <x:v>阶段3 纹身与元素</x:v>
      </x:c>
      <x:c r="C63" s="64" t="str">
        <x:v>G3 构筑效果闭环</x:v>
      </x:c>
      <x:c r="D63" s="64" t="str">
        <x:v>集成与阶段验收</x:v>
      </x:c>
      <x:c r="E63" s="64" t="str">
        <x:v>效果测试</x:v>
      </x:c>
      <x:c r="F63" s="64" t="str">
        <x:v>建立12效果、元素、队列和Epoch测试矩阵</x:v>
      </x:c>
      <x:c r="G63" s="64" t="str">
        <x:v>覆盖12项效果、遮挡、队伍、倒地、并发顺序、跨阶段失效和归因。</x:v>
      </x:c>
      <x:c r="H63" s="64" t="str">
        <x:v>P0</x:v>
      </x:c>
      <x:c r="I63" s="64" t="str">
        <x:v>P3-005,P3-006,P3-007,P3-008,P3-009,P3-010,P3-012,P3-015,P3-016,P3-017</x:v>
      </x:c>
      <x:c r="J63" s="64" t="str">
        <x:v>A3</x:v>
      </x:c>
      <x:c r="K63" s="70" t="n">
        <x:v>14</x:v>
      </x:c>
      <x:c r="L63" s="70" t="n">
        <x:v>18</x:v>
      </x:c>
      <x:c r="M63" s="64" t="str">
        <x:v>低</x:v>
      </x:c>
      <x:c r="N63" s="64" t="str">
        <x:v>程序预算</x:v>
      </x:c>
      <x:c r="O63" s="64" t="str">
        <x:v>固定seed结果一致，所有效果均有正向、拒绝和跨阶段用例。</x:v>
      </x:c>
      <x:c r="P63" s="64" t="str">
        <x:v>未开始</x:v>
      </x:c>
      <x:c r="Q63" s="73"/>
      <x:c r="R63" s="65" t="str"/>
    </x:row>
    <x:row r="64" ht="42" customHeight="1">
      <x:c r="A64" s="63" t="str">
        <x:v>P3-019</x:v>
      </x:c>
      <x:c r="B64" s="64" t="str">
        <x:v>阶段3 纹身与元素</x:v>
      </x:c>
      <x:c r="C64" s="64" t="str">
        <x:v>G3 构筑效果闭环</x:v>
      </x:c>
      <x:c r="D64" s="64" t="str">
        <x:v>客户端程序</x:v>
      </x:c>
      <x:c r="E64" s="64" t="str">
        <x:v>旧链清理</x:v>
      </x:c>
      <x:c r="F64" s="64" t="str">
        <x:v>清理旧纹身、元素与技能模型</x:v>
      </x:c>
      <x:c r="G64" s="64" t="str">
        <x:v>新效果接管后删除旧枚举、旧图案语义、旧技能字段、旧测试与旧资源键。</x:v>
      </x:c>
      <x:c r="H64" s="64" t="str">
        <x:v>P0</x:v>
      </x:c>
      <x:c r="I64" s="64" t="str">
        <x:v>P3-018,P0-009</x:v>
      </x:c>
      <x:c r="J64" s="64" t="str">
        <x:v>A3</x:v>
      </x:c>
      <x:c r="K64" s="70" t="n">
        <x:v>10</x:v>
      </x:c>
      <x:c r="L64" s="70" t="n">
        <x:v>16</x:v>
      </x:c>
      <x:c r="M64" s="64" t="str">
        <x:v>低</x:v>
      </x:c>
      <x:c r="N64" s="64" t="str">
        <x:v>程序预算</x:v>
      </x:c>
      <x:c r="O64" s="64" t="str">
        <x:v>运行时和数据无旧纹身/技能双权威，Prefab/Scene无Missing引用。</x:v>
      </x:c>
      <x:c r="P64" s="64" t="str">
        <x:v>未开始</x:v>
      </x:c>
      <x:c r="Q64" s="73"/>
      <x:c r="R64" s="65" t="str"/>
    </x:row>
    <x:row r="65" ht="42" customHeight="1">
      <x:c r="A65" s="63" t="str">
        <x:v>G3-001</x:v>
      </x:c>
      <x:c r="B65" s="64" t="str">
        <x:v>阶段3 纹身与元素</x:v>
      </x:c>
      <x:c r="C65" s="64" t="str">
        <x:v>G3 构筑效果闭环</x:v>
      </x:c>
      <x:c r="D65" s="64" t="str">
        <x:v>集成与阶段验收</x:v>
      </x:c>
      <x:c r="E65" s="64" t="str">
        <x:v>阶段验收</x:v>
      </x:c>
      <x:c r="F65" s="64" t="str">
        <x:v>构筑效果闭环验收</x:v>
      </x:c>
      <x:c r="G65" s="64" t="str">
        <x:v>在当前战斗代理与真实场景中验证12效果、元素反应、Epoch和成果；正式角色完成后补做六部位表现验收。</x:v>
      </x:c>
      <x:c r="H65" s="64" t="str">
        <x:v>P0</x:v>
      </x:c>
      <x:c r="I65" s="64" t="str">
        <x:v>P3-018,P3-019</x:v>
      </x:c>
      <x:c r="J65" s="64" t="str">
        <x:v>G3</x:v>
      </x:c>
      <x:c r="K65" s="70" t="n">
        <x:v>10</x:v>
      </x:c>
      <x:c r="L65" s="70" t="n">
        <x:v>16</x:v>
      </x:c>
      <x:c r="M65" s="64" t="str">
        <x:v>高</x:v>
      </x:c>
      <x:c r="N65" s="64" t="str">
        <x:v>程序预算</x:v>
      </x:c>
      <x:c r="O65" s="64" t="str">
        <x:v>12效果可构筑、触发、解释和跨阶段安全结束，旧效果链退出运行。</x:v>
      </x:c>
      <x:c r="P65" s="64" t="str">
        <x:v>未开始</x:v>
      </x:c>
      <x:c r="Q65" s="73"/>
      <x:c r="R65" s="65" t="str"/>
    </x:row>
    <x:row r="66" ht="42" customHeight="1">
      <x:c r="A66" s="63" t="str">
        <x:v>P4-001</x:v>
      </x:c>
      <x:c r="B66" s="64" t="str">
        <x:v>阶段4 五轮与资源</x:v>
      </x:c>
      <x:c r="C66" s="64" t="str">
        <x:v>G4 完整对局闭环</x:v>
      </x:c>
      <x:c r="D66" s="64" t="str">
        <x:v>客户端程序</x:v>
      </x:c>
      <x:c r="E66" s="64" t="str">
        <x:v>流程</x:v>
      </x:c>
      <x:c r="F66" s="64" t="str">
        <x:v>重建五轮权威状态机</x:v>
      </x:c>
      <x:c r="G66" s="64" t="str">
        <x:v>OpeningBuild60秒、Build2～5各45秒、五轮战斗和Result。</x:v>
      </x:c>
      <x:c r="H66" s="64" t="str">
        <x:v>P0</x:v>
      </x:c>
      <x:c r="I66" s="64" t="str">
        <x:v>G3-001</x:v>
      </x:c>
      <x:c r="J66" s="64" t="str">
        <x:v>A4</x:v>
      </x:c>
      <x:c r="K66" s="70" t="n">
        <x:v>12</x:v>
      </x:c>
      <x:c r="L66" s="70" t="n">
        <x:v>18</x:v>
      </x:c>
      <x:c r="M66" s="64" t="str">
        <x:v>中</x:v>
      </x:c>
      <x:c r="N66" s="64" t="str">
        <x:v>程序预算</x:v>
      </x:c>
      <x:c r="O66" s="64" t="str">
        <x:v>固定seed可完整走完所有合法阶段，非法跳转明确拒绝。</x:v>
      </x:c>
      <x:c r="P66" s="64" t="str">
        <x:v>未开始</x:v>
      </x:c>
      <x:c r="Q66" s="73"/>
      <x:c r="R66" s="65" t="str"/>
    </x:row>
    <x:row r="67" ht="42" customHeight="1">
      <x:c r="A67" s="63" t="str">
        <x:v>P4-002</x:v>
      </x:c>
      <x:c r="B67" s="64" t="str">
        <x:v>阶段4 五轮与资源</x:v>
      </x:c>
      <x:c r="C67" s="64" t="str">
        <x:v>G4 完整对局闭环</x:v>
      </x:c>
      <x:c r="D67" s="64" t="str">
        <x:v>客户端程序</x:v>
      </x:c>
      <x:c r="E67" s="64" t="str">
        <x:v>缩圈</x:v>
      </x:c>
      <x:c r="F67" s="64" t="str">
        <x:v>实现四次缩圈与圈外伤害</x:v>
      </x:c>
      <x:c r="G67" s="64" t="str">
        <x:v>Round2～5开战时执行配置化缩圈和圈外结算。</x:v>
      </x:c>
      <x:c r="H67" s="64" t="str">
        <x:v>P0</x:v>
      </x:c>
      <x:c r="I67" s="64" t="str">
        <x:v>P4-001,P1-010</x:v>
      </x:c>
      <x:c r="J67" s="64" t="str">
        <x:v>A4</x:v>
      </x:c>
      <x:c r="K67" s="70" t="n">
        <x:v>10</x:v>
      </x:c>
      <x:c r="L67" s="70" t="n">
        <x:v>16</x:v>
      </x:c>
      <x:c r="M67" s="64" t="str">
        <x:v>中</x:v>
      </x:c>
      <x:c r="N67" s="64" t="str">
        <x:v>程序预算</x:v>
      </x:c>
      <x:c r="O67" s="64" t="str">
        <x:v>半径、持续时间和伤害来自新表，边界与表现同步且可快速模式验证。</x:v>
      </x:c>
      <x:c r="P67" s="64" t="str">
        <x:v>未开始</x:v>
      </x:c>
      <x:c r="Q67" s="73"/>
      <x:c r="R67" s="65" t="str"/>
    </x:row>
    <x:row r="68" ht="42" customHeight="1">
      <x:c r="A68" s="63" t="str">
        <x:v>P4-003</x:v>
      </x:c>
      <x:c r="B68" s="64" t="str">
        <x:v>阶段4 五轮与资源</x:v>
      </x:c>
      <x:c r="C68" s="64" t="str">
        <x:v>G4 完整对局闭环</x:v>
      </x:c>
      <x:c r="D68" s="64" t="str">
        <x:v>客户端程序</x:v>
      </x:c>
      <x:c r="E68" s="64" t="str">
        <x:v>构筑阶段</x:v>
      </x:c>
      <x:c r="F68" s="64" t="str">
        <x:v>实现世界暂停与构筑事务边界</x:v>
      </x:c>
      <x:c r="G68" s="64" t="str">
        <x:v>冻结战斗模拟、淘汰未救起倒地者、允许构筑并在结束刷新冷却。</x:v>
      </x:c>
      <x:c r="H68" s="64" t="str">
        <x:v>P0</x:v>
      </x:c>
      <x:c r="I68" s="64" t="str">
        <x:v>P3-017,P4-001</x:v>
      </x:c>
      <x:c r="J68" s="64" t="str">
        <x:v>A4</x:v>
      </x:c>
      <x:c r="K68" s="70" t="n">
        <x:v>10</x:v>
      </x:c>
      <x:c r="L68" s="70" t="n">
        <x:v>16</x:v>
      </x:c>
      <x:c r="M68" s="64" t="str">
        <x:v>中</x:v>
      </x:c>
      <x:c r="N68" s="64" t="str">
        <x:v>程序预算</x:v>
      </x:c>
      <x:c r="O68" s="64" t="str">
        <x:v>构筑期不能造成战斗结果，事务超时原子取消，结束后全冷却可用。</x:v>
      </x:c>
      <x:c r="P68" s="64" t="str">
        <x:v>未开始</x:v>
      </x:c>
      <x:c r="Q68" s="73"/>
      <x:c r="R68" s="65" t="str"/>
    </x:row>
    <x:row r="69" ht="42" customHeight="1">
      <x:c r="A69" s="63" t="str">
        <x:v>P4-004</x:v>
      </x:c>
      <x:c r="B69" s="64" t="str">
        <x:v>阶段4 五轮与资源</x:v>
      </x:c>
      <x:c r="C69" s="64" t="str">
        <x:v>G4 完整对局闭环</x:v>
      </x:c>
      <x:c r="D69" s="64" t="str">
        <x:v>客户端程序</x:v>
      </x:c>
      <x:c r="E69" s="64" t="str">
        <x:v>情报</x:v>
      </x:c>
      <x:c r="F69" s="64" t="str">
        <x:v>实现六人构筑快照与成果快照</x:v>
      </x:c>
      <x:c r="G69" s="64" t="str">
        <x:v>构筑开始冻结装备效果文本、基础/局内属性和整局成果具体数据。</x:v>
      </x:c>
      <x:c r="H69" s="64" t="str">
        <x:v>P0</x:v>
      </x:c>
      <x:c r="I69" s="64" t="str">
        <x:v>P1-006,P3-016,P4-003</x:v>
      </x:c>
      <x:c r="J69" s="64" t="str">
        <x:v>A4</x:v>
      </x:c>
      <x:c r="K69" s="70" t="n">
        <x:v>12</x:v>
      </x:c>
      <x:c r="L69" s="70" t="n">
        <x:v>18</x:v>
      </x:c>
      <x:c r="M69" s="64" t="str">
        <x:v>低</x:v>
      </x:c>
      <x:c r="N69" s="64" t="str">
        <x:v>程序预算</x:v>
      </x:c>
      <x:c r="O69" s="64" t="str">
        <x:v>快照在本次构筑期不漂移，下一构筑边界反映最新结果。</x:v>
      </x:c>
      <x:c r="P69" s="64" t="str">
        <x:v>未开始</x:v>
      </x:c>
      <x:c r="Q69" s="73"/>
      <x:c r="R69" s="65" t="str"/>
    </x:row>
    <x:row r="70" ht="42" customHeight="1">
      <x:c r="A70" s="63" t="str">
        <x:v>P4-005</x:v>
      </x:c>
      <x:c r="B70" s="64" t="str">
        <x:v>阶段4 五轮与资源</x:v>
      </x:c>
      <x:c r="C70" s="64" t="str">
        <x:v>G4 完整对局闭环</x:v>
      </x:c>
      <x:c r="D70" s="64" t="str">
        <x:v>客户端程序</x:v>
      </x:c>
      <x:c r="E70" s="64" t="str">
        <x:v>颜料经济</x:v>
      </x:c>
      <x:c r="F70" s="64" t="str">
        <x:v>实现颜料库存与确定性拾取</x:v>
      </x:c>
      <x:c r="G70" s="64" t="str">
        <x:v>三色颜料独立持有，拾取数量按类型小范围随机。</x:v>
      </x:c>
      <x:c r="H70" s="64" t="str">
        <x:v>P0</x:v>
      </x:c>
      <x:c r="I70" s="64" t="str">
        <x:v>P1-006,P1-010</x:v>
      </x:c>
      <x:c r="J70" s="64" t="str">
        <x:v>A4</x:v>
      </x:c>
      <x:c r="K70" s="70" t="n">
        <x:v>8</x:v>
      </x:c>
      <x:c r="L70" s="70" t="n">
        <x:v>14</x:v>
      </x:c>
      <x:c r="M70" s="64" t="str">
        <x:v>中</x:v>
      </x:c>
      <x:c r="N70" s="64" t="str">
        <x:v>程序预算</x:v>
      </x:c>
      <x:c r="O70" s="64" t="str">
        <x:v>数量区间、权重、轮次和seed来自新配置且不产生小数。</x:v>
      </x:c>
      <x:c r="P70" s="64" t="str">
        <x:v>未开始</x:v>
      </x:c>
      <x:c r="Q70" s="73"/>
      <x:c r="R70" s="65" t="str"/>
    </x:row>
    <x:row r="71" ht="42" customHeight="1">
      <x:c r="A71" s="63" t="str">
        <x:v>P4-006</x:v>
      </x:c>
      <x:c r="B71" s="64" t="str">
        <x:v>阶段4 五轮与资源</x:v>
      </x:c>
      <x:c r="C71" s="64" t="str">
        <x:v>G4 完整对局闭环</x:v>
      </x:c>
      <x:c r="D71" s="64" t="str">
        <x:v>客户端程序</x:v>
      </x:c>
      <x:c r="E71" s="64" t="str">
        <x:v>资源请求</x:v>
      </x:c>
      <x:c r="F71" s="64" t="str">
        <x:v>实现队友颜料请求与原子转移</x:v>
      </x:c>
      <x:c r="G71" s="64" t="str">
        <x:v>选择颜色和数量，请求上限为对方现有量，支持同意/拒绝/过期。</x:v>
      </x:c>
      <x:c r="H71" s="64" t="str">
        <x:v>P0</x:v>
      </x:c>
      <x:c r="I71" s="64" t="str">
        <x:v>P4-003,P4-005</x:v>
      </x:c>
      <x:c r="J71" s="64" t="str">
        <x:v>A4</x:v>
      </x:c>
      <x:c r="K71" s="70" t="n">
        <x:v>10</x:v>
      </x:c>
      <x:c r="L71" s="70" t="n">
        <x:v>16</x:v>
      </x:c>
      <x:c r="M71" s="64" t="str">
        <x:v>中</x:v>
      </x:c>
      <x:c r="N71" s="64" t="str">
        <x:v>程序预算</x:v>
      </x:c>
      <x:c r="O71" s="64" t="str">
        <x:v>同意时一次提交，状态变化导致不足则整体失败且不部分转移。</x:v>
      </x:c>
      <x:c r="P71" s="64" t="str">
        <x:v>未开始</x:v>
      </x:c>
      <x:c r="Q71" s="73"/>
      <x:c r="R71" s="65" t="str"/>
    </x:row>
    <x:row r="72" ht="42" customHeight="1">
      <x:c r="A72" s="63" t="str">
        <x:v>P4-007</x:v>
      </x:c>
      <x:c r="B72" s="64" t="str">
        <x:v>阶段4 五轮与资源</x:v>
      </x:c>
      <x:c r="C72" s="64" t="str">
        <x:v>G4 完整对局闭环</x:v>
      </x:c>
      <x:c r="D72" s="64" t="str">
        <x:v>客户端程序</x:v>
      </x:c>
      <x:c r="E72" s="64" t="str">
        <x:v>地图资源</x:v>
      </x:c>
      <x:c r="F72" s="64" t="str">
        <x:v>接入OasisCity MapResource锚点</x:v>
      </x:c>
      <x:c r="G72" s="64" t="str">
        <x:v>按合法锚点和seed生成小/中/大型拾取。</x:v>
      </x:c>
      <x:c r="H72" s="64" t="str">
        <x:v>P0</x:v>
      </x:c>
      <x:c r="I72" s="64" t="str">
        <x:v>P0-003,P4-005</x:v>
      </x:c>
      <x:c r="J72" s="64" t="str">
        <x:v>A4</x:v>
      </x:c>
      <x:c r="K72" s="70" t="n">
        <x:v>8</x:v>
      </x:c>
      <x:c r="L72" s="70" t="n">
        <x:v>14</x:v>
      </x:c>
      <x:c r="M72" s="64" t="str">
        <x:v>中</x:v>
      </x:c>
      <x:c r="N72" s="64" t="str">
        <x:v>程序预算</x:v>
      </x:c>
      <x:c r="O72" s="64" t="str">
        <x:v>不使用PCG或任意坐标兜底，返回菜单后全部回收。</x:v>
      </x:c>
      <x:c r="P72" s="64" t="str">
        <x:v>未开始</x:v>
      </x:c>
      <x:c r="Q72" s="73"/>
      <x:c r="R72" s="65" t="str"/>
    </x:row>
    <x:row r="73" ht="42" customHeight="1">
      <x:c r="A73" s="63" t="str">
        <x:v>P4-008</x:v>
      </x:c>
      <x:c r="B73" s="64" t="str">
        <x:v>阶段4 五轮与资源</x:v>
      </x:c>
      <x:c r="C73" s="64" t="str">
        <x:v>G4 完整对局闭环</x:v>
      </x:c>
      <x:c r="D73" s="64" t="str">
        <x:v>客户端程序</x:v>
      </x:c>
      <x:c r="E73" s="64" t="str">
        <x:v>测试撤离</x:v>
      </x:c>
      <x:c r="F73" s="64" t="str">
        <x:v>实现InputModule测试解锁命令</x:v>
      </x:c>
      <x:c r="G73" s="64" t="str">
        <x:v>Round4Combat起整局一次触发撤离点生成事件。</x:v>
      </x:c>
      <x:c r="H73" s="64" t="str">
        <x:v>P0</x:v>
      </x:c>
      <x:c r="I73" s="64" t="str">
        <x:v>P1-007,P4-001</x:v>
      </x:c>
      <x:c r="J73" s="64" t="str">
        <x:v>A4</x:v>
      </x:c>
      <x:c r="K73" s="70" t="n">
        <x:v>6</x:v>
      </x:c>
      <x:c r="L73" s="70" t="n">
        <x:v>10</x:v>
      </x:c>
      <x:c r="M73" s="64" t="str">
        <x:v>高</x:v>
      </x:c>
      <x:c r="N73" s="64" t="str">
        <x:v>程序预算</x:v>
      </x:c>
      <x:c r="O73" s="64" t="str">
        <x:v>非法阶段、重复触发、倒地或UI拦截时命令被拒绝。</x:v>
      </x:c>
      <x:c r="P73" s="64" t="str">
        <x:v>未开始</x:v>
      </x:c>
      <x:c r="Q73" s="73"/>
      <x:c r="R73" s="65" t="str"/>
    </x:row>
    <x:row r="74" ht="42" customHeight="1">
      <x:c r="A74" s="63" t="str">
        <x:v>P4-009</x:v>
      </x:c>
      <x:c r="B74" s="64" t="str">
        <x:v>阶段4 五轮与资源</x:v>
      </x:c>
      <x:c r="C74" s="64" t="str">
        <x:v>G4 完整对局闭环</x:v>
      </x:c>
      <x:c r="D74" s="64" t="str">
        <x:v>客户端程序</x:v>
      </x:c>
      <x:c r="E74" s="64" t="str">
        <x:v>测试撤离</x:v>
      </x:c>
      <x:c r="F74" s="64" t="str">
        <x:v>生成撤离点并完成整队撤离</x:v>
      </x:c>
      <x:c r="G74" s="64" t="str">
        <x:v>从Extraction合法锚点生成默认3点，本地玩家按住交互后整队结束。</x:v>
      </x:c>
      <x:c r="H74" s="64" t="str">
        <x:v>P0</x:v>
      </x:c>
      <x:c r="I74" s="64" t="str">
        <x:v>P0-003,P4-008</x:v>
      </x:c>
      <x:c r="J74" s="64" t="str">
        <x:v>A4</x:v>
      </x:c>
      <x:c r="K74" s="70" t="n">
        <x:v>10</x:v>
      </x:c>
      <x:c r="L74" s="70" t="n">
        <x:v>16</x:v>
      </x:c>
      <x:c r="M74" s="64" t="str">
        <x:v>中</x:v>
      </x:c>
      <x:c r="N74" s="64" t="str">
        <x:v>程序预算</x:v>
      </x:c>
      <x:c r="O74" s="64" t="str">
        <x:v>交互中断、倒地队友拒绝和整队结果符合策划，点位seed可复现。</x:v>
      </x:c>
      <x:c r="P74" s="64" t="str">
        <x:v>未开始</x:v>
      </x:c>
      <x:c r="Q74" s="73"/>
      <x:c r="R74" s="65" t="str"/>
    </x:row>
    <x:row r="75" ht="42" customHeight="1">
      <x:c r="A75" s="63" t="str">
        <x:v>P4-010</x:v>
      </x:c>
      <x:c r="B75" s="64" t="str">
        <x:v>阶段4 五轮与资源</x:v>
      </x:c>
      <x:c r="C75" s="64" t="str">
        <x:v>G4 完整对局闭环</x:v>
      </x:c>
      <x:c r="D75" s="64" t="str">
        <x:v>客户端程序</x:v>
      </x:c>
      <x:c r="E75" s="64" t="str">
        <x:v>结算</x:v>
      </x:c>
      <x:c r="F75" s="64" t="str">
        <x:v>实现淘汰、超时和撤离结果</x:v>
      </x:c>
      <x:c r="G75" s="64" t="str">
        <x:v>统一生成队伍排名、成果、结束原因和返回菜单数据。</x:v>
      </x:c>
      <x:c r="H75" s="64" t="str">
        <x:v>P0</x:v>
      </x:c>
      <x:c r="I75" s="64" t="str">
        <x:v>P3-016,P4-001,P4-009</x:v>
      </x:c>
      <x:c r="J75" s="64" t="str">
        <x:v>A4</x:v>
      </x:c>
      <x:c r="K75" s="70" t="n">
        <x:v>10</x:v>
      </x:c>
      <x:c r="L75" s="70" t="n">
        <x:v>16</x:v>
      </x:c>
      <x:c r="M75" s="64" t="str">
        <x:v>中</x:v>
      </x:c>
      <x:c r="N75" s="64" t="str">
        <x:v>程序预算</x:v>
      </x:c>
      <x:c r="O75" s="64" t="str">
        <x:v>只剩一队、第五轮超时和本地撤离均停止MatchFlow且结果可解释。</x:v>
      </x:c>
      <x:c r="P75" s="64" t="str">
        <x:v>未开始</x:v>
      </x:c>
      <x:c r="Q75" s="73"/>
      <x:c r="R75" s="65" t="str"/>
    </x:row>
    <x:row r="76" ht="42" customHeight="1">
      <x:c r="A76" s="63" t="str">
        <x:v>P4-011</x:v>
      </x:c>
      <x:c r="B76" s="64" t="str">
        <x:v>阶段4 五轮与资源</x:v>
      </x:c>
      <x:c r="C76" s="64" t="str">
        <x:v>G4 完整对局闭环</x:v>
      </x:c>
      <x:c r="D76" s="64" t="str">
        <x:v>客户端程序</x:v>
      </x:c>
      <x:c r="E76" s="64" t="str">
        <x:v>场景生命周期</x:v>
      </x:c>
      <x:c r="F76" s="64" t="str">
        <x:v>重建Launch、菜单、OasisCity与结果生命周期</x:v>
      </x:c>
      <x:c r="G76" s="64" t="str">
        <x:v>安全加载/卸载场景和业务作用域，支持连续多局。</x:v>
      </x:c>
      <x:c r="H76" s="64" t="str">
        <x:v>P0</x:v>
      </x:c>
      <x:c r="I76" s="64" t="str">
        <x:v>P0-002,P4-010</x:v>
      </x:c>
      <x:c r="J76" s="64" t="str">
        <x:v>A4</x:v>
      </x:c>
      <x:c r="K76" s="70" t="n">
        <x:v>10</x:v>
      </x:c>
      <x:c r="L76" s="70" t="n">
        <x:v>16</x:v>
      </x:c>
      <x:c r="M76" s="64" t="str">
        <x:v>低</x:v>
      </x:c>
      <x:c r="N76" s="64" t="str">
        <x:v>程序预算</x:v>
      </x:c>
      <x:c r="O76" s="64" t="str">
        <x:v>返回菜单后无上一局对象、事件、静态状态、UI或资源残留。</x:v>
      </x:c>
      <x:c r="P76" s="64" t="str">
        <x:v>未开始</x:v>
      </x:c>
      <x:c r="Q76" s="73"/>
      <x:c r="R76" s="65" t="str"/>
    </x:row>
    <x:row r="77" ht="42" customHeight="1">
      <x:c r="A77" s="63" t="str">
        <x:v>P4-012</x:v>
      </x:c>
      <x:c r="B77" s="64" t="str">
        <x:v>阶段4 五轮与资源</x:v>
      </x:c>
      <x:c r="C77" s="64" t="str">
        <x:v>G4 完整对局闭环</x:v>
      </x:c>
      <x:c r="D77" s="64" t="str">
        <x:v>客户端程序</x:v>
      </x:c>
      <x:c r="E77" s="64" t="str">
        <x:v>Bot构筑</x:v>
      </x:c>
      <x:c r="F77" s="64" t="str">
        <x:v>实现Bot合法构筑、拾取、救援和撤离状态</x:v>
      </x:c>
      <x:c r="G77" s="64" t="str">
        <x:v>Bot使用同一事务与阶段规则，不直接改库存或效果。</x:v>
      </x:c>
      <x:c r="H77" s="64" t="str">
        <x:v>P0</x:v>
      </x:c>
      <x:c r="I77" s="64" t="str">
        <x:v>P1-008,P3-004,P4-005,P4-006,P4-009</x:v>
      </x:c>
      <x:c r="J77" s="64" t="str">
        <x:v>A4</x:v>
      </x:c>
      <x:c r="K77" s="70" t="n">
        <x:v>12</x:v>
      </x:c>
      <x:c r="L77" s="70" t="n">
        <x:v>18</x:v>
      </x:c>
      <x:c r="M77" s="64" t="str">
        <x:v>低</x:v>
      </x:c>
      <x:c r="N77" s="64" t="str">
        <x:v>程序预算</x:v>
      </x:c>
      <x:c r="O77" s="64" t="str">
        <x:v>Bot能完成整局且不会战斗期改纹身、共享资源作弊或绕过倒地规则。</x:v>
      </x:c>
      <x:c r="P77" s="64" t="str">
        <x:v>未开始</x:v>
      </x:c>
      <x:c r="Q77" s="73"/>
      <x:c r="R77" s="65" t="str"/>
    </x:row>
    <x:row r="78" ht="42" customHeight="1">
      <x:c r="A78" s="63" t="str">
        <x:v>P4-013</x:v>
      </x:c>
      <x:c r="B78" s="64" t="str">
        <x:v>阶段4 五轮与资源</x:v>
      </x:c>
      <x:c r="C78" s="64" t="str">
        <x:v>G4 完整对局闭环</x:v>
      </x:c>
      <x:c r="D78" s="64" t="str">
        <x:v>集成与阶段验收</x:v>
      </x:c>
      <x:c r="E78" s="64" t="str">
        <x:v>流程测试</x:v>
      </x:c>
      <x:c r="F78" s="64" t="str">
        <x:v>建立五轮、资源、请求、撤离和重载测试</x:v>
      </x:c>
      <x:c r="G78" s="64" t="str">
        <x:v>覆盖固定seed、快速模式、提前结束、正常结束、撤离和连续开局。</x:v>
      </x:c>
      <x:c r="H78" s="64" t="str">
        <x:v>P0</x:v>
      </x:c>
      <x:c r="I78" s="64" t="str">
        <x:v>P4-002,P4-004,P4-006,P4-007,P4-010,P4-011,P4-012</x:v>
      </x:c>
      <x:c r="J78" s="64" t="str">
        <x:v>A4</x:v>
      </x:c>
      <x:c r="K78" s="70" t="n">
        <x:v>14</x:v>
      </x:c>
      <x:c r="L78" s="70" t="n">
        <x:v>18</x:v>
      </x:c>
      <x:c r="M78" s="64" t="str">
        <x:v>低</x:v>
      </x:c>
      <x:c r="N78" s="64" t="str">
        <x:v>程序预算</x:v>
      </x:c>
      <x:c r="O78" s="64" t="str">
        <x:v>完整流程在EditMode/PlayMode稳定运行，结果证据结构化保存。</x:v>
      </x:c>
      <x:c r="P78" s="64" t="str">
        <x:v>未开始</x:v>
      </x:c>
      <x:c r="Q78" s="73"/>
      <x:c r="R78" s="65" t="str"/>
    </x:row>
    <x:row r="79" ht="42" customHeight="1">
      <x:c r="A79" s="63" t="str">
        <x:v>P4-014</x:v>
      </x:c>
      <x:c r="B79" s="64" t="str">
        <x:v>阶段4 五轮与资源</x:v>
      </x:c>
      <x:c r="C79" s="64" t="str">
        <x:v>G4 完整对局闭环</x:v>
      </x:c>
      <x:c r="D79" s="64" t="str">
        <x:v>客户端程序</x:v>
      </x:c>
      <x:c r="E79" s="64" t="str">
        <x:v>旧链清理</x:v>
      </x:c>
      <x:c r="F79" s="64" t="str">
        <x:v>清理旧MatchFlow、旧表与撤离残留</x:v>
      </x:c>
      <x:c r="G79" s="64" t="str">
        <x:v>删除被新流程接管的旧状态、旧配置、旧PCG/Enemy入口和旧测试。</x:v>
      </x:c>
      <x:c r="H79" s="64" t="str">
        <x:v>P0</x:v>
      </x:c>
      <x:c r="I79" s="64" t="str">
        <x:v>P4-013,P0-009</x:v>
      </x:c>
      <x:c r="J79" s="64" t="str">
        <x:v>A4</x:v>
      </x:c>
      <x:c r="K79" s="70" t="n">
        <x:v>10</x:v>
      </x:c>
      <x:c r="L79" s="70" t="n">
        <x:v>16</x:v>
      </x:c>
      <x:c r="M79" s="64" t="str">
        <x:v>低</x:v>
      </x:c>
      <x:c r="N79" s="64" t="str">
        <x:v>程序预算</x:v>
      </x:c>
      <x:c r="O79" s="64" t="str">
        <x:v>运行时只有一套五轮与资源权威，旧入口零引用且场景无Missing Script。</x:v>
      </x:c>
      <x:c r="P79" s="64" t="str">
        <x:v>未开始</x:v>
      </x:c>
      <x:c r="Q79" s="73"/>
      <x:c r="R79" s="65" t="str"/>
    </x:row>
    <x:row r="80" ht="42" customHeight="1">
      <x:c r="A80" s="63" t="str">
        <x:v>G4-001</x:v>
      </x:c>
      <x:c r="B80" s="64" t="str">
        <x:v>阶段4 五轮与资源</x:v>
      </x:c>
      <x:c r="C80" s="64" t="str">
        <x:v>G4 完整对局闭环</x:v>
      </x:c>
      <x:c r="D80" s="64" t="str">
        <x:v>集成与阶段验收</x:v>
      </x:c>
      <x:c r="E80" s="64" t="str">
        <x:v>阶段验收</x:v>
      </x:c>
      <x:c r="F80" s="64" t="str">
        <x:v>完整对局闭环验收</x:v>
      </x:c>
      <x:c r="G80" s="64" t="str">
        <x:v>从Launch完成五轮或撤离并返回菜单，验证连续局与固定seed。</x:v>
      </x:c>
      <x:c r="H80" s="64" t="str">
        <x:v>P0</x:v>
      </x:c>
      <x:c r="I80" s="64" t="str">
        <x:v>P4-013,P4-014</x:v>
      </x:c>
      <x:c r="J80" s="64" t="str">
        <x:v>G4</x:v>
      </x:c>
      <x:c r="K80" s="70" t="n">
        <x:v>10</x:v>
      </x:c>
      <x:c r="L80" s="70" t="n">
        <x:v>16</x:v>
      </x:c>
      <x:c r="M80" s="64" t="str">
        <x:v>高</x:v>
      </x:c>
      <x:c r="N80" s="64" t="str">
        <x:v>程序预算</x:v>
      </x:c>
      <x:c r="O80" s="64" t="str">
        <x:v>结构完整、结果可解释、返回无残留，旧流程不再参与运行。</x:v>
      </x:c>
      <x:c r="P80" s="64" t="str">
        <x:v>未开始</x:v>
      </x:c>
      <x:c r="Q80" s="73"/>
      <x:c r="R80" s="65" t="str"/>
    </x:row>
    <x:row r="81" ht="42" customHeight="1">
      <x:c r="A81" s="63" t="str">
        <x:v>P5-001</x:v>
      </x:c>
      <x:c r="B81" s="64" t="str">
        <x:v>阶段5 UI与玩法验证</x:v>
      </x:c>
      <x:c r="C81" s="64" t="str">
        <x:v>G5 First Playable验收</x:v>
      </x:c>
      <x:c r="D81" s="64" t="str">
        <x:v>UI与交互</x:v>
      </x:c>
      <x:c r="E81" s="64" t="str">
        <x:v>UI架构</x:v>
      </x:c>
      <x:c r="F81" s="64" t="str">
        <x:v>重建页面层级与通用组件壳</x:v>
      </x:c>
      <x:c r="G81" s="64" t="str">
        <x:v>按MainMenu/HUD/构筑/模态/暂停/结果划分UIGroup和输入焦点。</x:v>
      </x:c>
      <x:c r="H81" s="64" t="str">
        <x:v>P0</x:v>
      </x:c>
      <x:c r="I81" s="64" t="str">
        <x:v>G4-001,P0-006</x:v>
      </x:c>
      <x:c r="J81" s="64" t="str">
        <x:v>A5UI</x:v>
      </x:c>
      <x:c r="K81" s="70" t="n">
        <x:v>10</x:v>
      </x:c>
      <x:c r="L81" s="70" t="n">
        <x:v>16</x:v>
      </x:c>
      <x:c r="M81" s="64" t="str">
        <x:v>中</x:v>
      </x:c>
      <x:c r="N81" s="64" t="str">
        <x:v>程序预算</x:v>
      </x:c>
      <x:c r="O81" s="64" t="str">
        <x:v>页面通过GF.UI打开，输入拦截、Esc层级和异步关闭无冲突。</x:v>
      </x:c>
      <x:c r="P81" s="64" t="str">
        <x:v>未开始</x:v>
      </x:c>
      <x:c r="Q81" s="73"/>
      <x:c r="R81" s="65" t="str"/>
    </x:row>
    <x:row r="82" ht="42" customHeight="1">
      <x:c r="A82" s="63" t="str">
        <x:v>P5-002</x:v>
      </x:c>
      <x:c r="B82" s="64" t="str">
        <x:v>阶段5 UI与玩法验证</x:v>
      </x:c>
      <x:c r="C82" s="64" t="str">
        <x:v>G5 First Playable验收</x:v>
      </x:c>
      <x:c r="D82" s="64" t="str">
        <x:v>UI与交互</x:v>
      </x:c>
      <x:c r="E82" s="64" t="str">
        <x:v>主菜单</x:v>
      </x:c>
      <x:c r="F82" s="64" t="str">
        <x:v>实现主菜单与本地开局确认</x:v>
      </x:c>
      <x:c r="G82" s="64" t="str">
        <x:v>提供开始、设置、退出和本地对局确认，不显示旧角色/武器选择。</x:v>
      </x:c>
      <x:c r="H82" s="64" t="str">
        <x:v>P0</x:v>
      </x:c>
      <x:c r="I82" s="64" t="str">
        <x:v>P5-001</x:v>
      </x:c>
      <x:c r="J82" s="64" t="str">
        <x:v>A5UI</x:v>
      </x:c>
      <x:c r="K82" s="70" t="n">
        <x:v>8</x:v>
      </x:c>
      <x:c r="L82" s="70" t="n">
        <x:v>14</x:v>
      </x:c>
      <x:c r="M82" s="64" t="str">
        <x:v>中</x:v>
      </x:c>
      <x:c r="N82" s="64" t="str">
        <x:v>程序预算</x:v>
      </x:c>
      <x:c r="O82" s="64" t="str">
        <x:v>从Launch可进入本地对局，取消和重复进入不残留状态。</x:v>
      </x:c>
      <x:c r="P82" s="64" t="str">
        <x:v>未开始</x:v>
      </x:c>
      <x:c r="Q82" s="73"/>
      <x:c r="R82" s="65" t="str"/>
    </x:row>
    <x:row r="83" ht="42" customHeight="1">
      <x:c r="A83" s="63" t="str">
        <x:v>P5-003</x:v>
      </x:c>
      <x:c r="B83" s="64" t="str">
        <x:v>阶段5 UI与玩法验证</x:v>
      </x:c>
      <x:c r="C83" s="64" t="str">
        <x:v>G5 First Playable验收</x:v>
      </x:c>
      <x:c r="D83" s="64" t="str">
        <x:v>UI与交互</x:v>
      </x:c>
      <x:c r="E83" s="64" t="str">
        <x:v>HUD</x:v>
      </x:c>
      <x:c r="F83" s="64" t="str">
        <x:v>实现战斗HUD与反馈层</x:v>
      </x:c>
      <x:c r="G83" s="64" t="str">
        <x:v>显示生命、临时盾、阶段、缩圈、颜料、元素、冷却、队友、准星和交互提示。</x:v>
      </x:c>
      <x:c r="H83" s="64" t="str">
        <x:v>P0</x:v>
      </x:c>
      <x:c r="I83" s="64" t="str">
        <x:v>P5-001,P4-001,P3-003,P3-013</x:v>
      </x:c>
      <x:c r="J83" s="64" t="str">
        <x:v>A5UI</x:v>
      </x:c>
      <x:c r="K83" s="70" t="n">
        <x:v>12</x:v>
      </x:c>
      <x:c r="L83" s="70" t="n">
        <x:v>18</x:v>
      </x:c>
      <x:c r="M83" s="64" t="str">
        <x:v>低</x:v>
      </x:c>
      <x:c r="N83" s="64" t="str">
        <x:v>程序预算</x:v>
      </x:c>
      <x:c r="O83" s="64" t="str">
        <x:v>信息来自运行时状态，无旧技能/弹药占位，1080p关键内容可读。</x:v>
      </x:c>
      <x:c r="P83" s="64" t="str">
        <x:v>未开始</x:v>
      </x:c>
      <x:c r="Q83" s="73"/>
      <x:c r="R83" s="65" t="str"/>
    </x:row>
    <x:row r="84" ht="42" customHeight="1">
      <x:c r="A84" s="63" t="str">
        <x:v>P5-004</x:v>
      </x:c>
      <x:c r="B84" s="64" t="str">
        <x:v>阶段5 UI与玩法验证</x:v>
      </x:c>
      <x:c r="C84" s="64" t="str">
        <x:v>G5 First Playable验收</x:v>
      </x:c>
      <x:c r="D84" s="64" t="str">
        <x:v>UI与交互</x:v>
      </x:c>
      <x:c r="E84" s="64" t="str">
        <x:v>构筑</x:v>
      </x:c>
      <x:c r="F84" s="64" t="str">
        <x:v>实现构筑与12效果选择界面</x:v>
      </x:c>
      <x:c r="G84" s="64" t="str">
        <x:v>展示六部位、P01/P02、元素颜色、效果文本、成本、返还和冷却。</x:v>
      </x:c>
      <x:c r="H84" s="64" t="str">
        <x:v>P0</x:v>
      </x:c>
      <x:c r="I84" s="64" t="str">
        <x:v>P5-001,P3-004</x:v>
      </x:c>
      <x:c r="J84" s="64" t="str">
        <x:v>A5UI</x:v>
      </x:c>
      <x:c r="K84" s="70" t="n">
        <x:v>12</x:v>
      </x:c>
      <x:c r="L84" s="70" t="n">
        <x:v>18</x:v>
      </x:c>
      <x:c r="M84" s="64" t="str">
        <x:v>低</x:v>
      </x:c>
      <x:c r="N84" s="64" t="str">
        <x:v>程序预算</x:v>
      </x:c>
      <x:c r="O84" s="64" t="str">
        <x:v>战斗期只读，构筑期事务明确，效果文本不暴露未设计的具体数据版本。</x:v>
      </x:c>
      <x:c r="P84" s="64" t="str">
        <x:v>未开始</x:v>
      </x:c>
      <x:c r="Q84" s="73"/>
      <x:c r="R84" s="65" t="str"/>
    </x:row>
    <x:row r="85" ht="42" customHeight="1">
      <x:c r="A85" s="63" t="str">
        <x:v>P5-005</x:v>
      </x:c>
      <x:c r="B85" s="64" t="str">
        <x:v>阶段5 UI与玩法验证</x:v>
      </x:c>
      <x:c r="C85" s="64" t="str">
        <x:v>G5 First Playable验收</x:v>
      </x:c>
      <x:c r="D85" s="64" t="str">
        <x:v>UI与交互</x:v>
      </x:c>
      <x:c r="E85" s="64" t="str">
        <x:v>情报</x:v>
      </x:c>
      <x:c r="F85" s="64" t="str">
        <x:v>实现六人构筑情报与成果界面</x:v>
      </x:c>
      <x:c r="G85" s="64" t="str">
        <x:v>展示装备、基础/局内属性色彩区分和完整本局成果。</x:v>
      </x:c>
      <x:c r="H85" s="64" t="str">
        <x:v>P0</x:v>
      </x:c>
      <x:c r="I85" s="64" t="str">
        <x:v>P5-001,P4-004</x:v>
      </x:c>
      <x:c r="J85" s="64" t="str">
        <x:v>A5UI</x:v>
      </x:c>
      <x:c r="K85" s="70" t="n">
        <x:v>12</x:v>
      </x:c>
      <x:c r="L85" s="70" t="n">
        <x:v>18</x:v>
      </x:c>
      <x:c r="M85" s="64" t="str">
        <x:v>低</x:v>
      </x:c>
      <x:c r="N85" s="64" t="str">
        <x:v>程序预算</x:v>
      </x:c>
      <x:c r="O85" s="64" t="str">
        <x:v>六人信息可比较且不混入单轮数据，冻结快照不会实时跳动。</x:v>
      </x:c>
      <x:c r="P85" s="64" t="str">
        <x:v>未开始</x:v>
      </x:c>
      <x:c r="Q85" s="73"/>
      <x:c r="R85" s="65" t="str"/>
    </x:row>
    <x:row r="86" ht="42" customHeight="1">
      <x:c r="A86" s="63" t="str">
        <x:v>P5-006</x:v>
      </x:c>
      <x:c r="B86" s="64" t="str">
        <x:v>阶段5 UI与玩法验证</x:v>
      </x:c>
      <x:c r="C86" s="64" t="str">
        <x:v>G5 First Playable验收</x:v>
      </x:c>
      <x:c r="D86" s="64" t="str">
        <x:v>UI与交互</x:v>
      </x:c>
      <x:c r="E86" s="64" t="str">
        <x:v>资源请求</x:v>
      </x:c>
      <x:c r="F86" s="64" t="str">
        <x:v>实现颜料请求发送与确认UI</x:v>
      </x:c>
      <x:c r="G86" s="64" t="str">
        <x:v>选择颜色/数量并处理同意、拒绝、过期和余额变化。</x:v>
      </x:c>
      <x:c r="H86" s="64" t="str">
        <x:v>P0</x:v>
      </x:c>
      <x:c r="I86" s="64" t="str">
        <x:v>P5-001,P4-006</x:v>
      </x:c>
      <x:c r="J86" s="64" t="str">
        <x:v>A5UI</x:v>
      </x:c>
      <x:c r="K86" s="70" t="n">
        <x:v>8</x:v>
      </x:c>
      <x:c r="L86" s="70" t="n">
        <x:v>14</x:v>
      </x:c>
      <x:c r="M86" s="64" t="str">
        <x:v>中</x:v>
      </x:c>
      <x:c r="N86" s="64" t="str">
        <x:v>程序预算</x:v>
      </x:c>
      <x:c r="O86" s="64" t="str">
        <x:v>最大数量随对方库存合法更新，过期事务不会误提交。</x:v>
      </x:c>
      <x:c r="P86" s="64" t="str">
        <x:v>未开始</x:v>
      </x:c>
      <x:c r="Q86" s="73"/>
      <x:c r="R86" s="65" t="str"/>
    </x:row>
    <x:row r="87" ht="42" customHeight="1">
      <x:c r="A87" s="63" t="str">
        <x:v>P5-007</x:v>
      </x:c>
      <x:c r="B87" s="64" t="str">
        <x:v>阶段5 UI与玩法验证</x:v>
      </x:c>
      <x:c r="C87" s="64" t="str">
        <x:v>G5 First Playable验收</x:v>
      </x:c>
      <x:c r="D87" s="64" t="str">
        <x:v>UI与交互</x:v>
      </x:c>
      <x:c r="E87" s="64" t="str">
        <x:v>倒地观战</x:v>
      </x:c>
      <x:c r="F87" s="64" t="str">
        <x:v>实现倒地、救援和观战UI</x:v>
      </x:c>
      <x:c r="G87" s="64" t="str">
        <x:v>显示流血、救援进度、中断、保护、淘汰和队友观战。</x:v>
      </x:c>
      <x:c r="H87" s="64" t="str">
        <x:v>P0</x:v>
      </x:c>
      <x:c r="I87" s="64" t="str">
        <x:v>P5-001,P2-010,P2-011</x:v>
      </x:c>
      <x:c r="J87" s="64" t="str">
        <x:v>A5UI</x:v>
      </x:c>
      <x:c r="K87" s="70" t="n">
        <x:v>8</x:v>
      </x:c>
      <x:c r="L87" s="70" t="n">
        <x:v>14</x:v>
      </x:c>
      <x:c r="M87" s="64" t="str">
        <x:v>中</x:v>
      </x:c>
      <x:c r="N87" s="64" t="str">
        <x:v>程序预算</x:v>
      </x:c>
      <x:c r="O87" s="64" t="str">
        <x:v>倒地时不显示可用纹身/技能误导，淘汰后只观战存活队友。</x:v>
      </x:c>
      <x:c r="P87" s="64" t="str">
        <x:v>未开始</x:v>
      </x:c>
      <x:c r="Q87" s="73"/>
      <x:c r="R87" s="65" t="str"/>
    </x:row>
    <x:row r="88" ht="42" customHeight="1">
      <x:c r="A88" s="63" t="str">
        <x:v>P5-008</x:v>
      </x:c>
      <x:c r="B88" s="64" t="str">
        <x:v>阶段5 UI与玩法验证</x:v>
      </x:c>
      <x:c r="C88" s="64" t="str">
        <x:v>G5 First Playable验收</x:v>
      </x:c>
      <x:c r="D88" s="64" t="str">
        <x:v>UI与交互</x:v>
      </x:c>
      <x:c r="E88" s="64" t="str">
        <x:v>暂停设置结果</x:v>
      </x:c>
      <x:c r="F88" s="64" t="str">
        <x:v>实现Pause、Settings与Result页面</x:v>
      </x:c>
      <x:c r="G88" s="64" t="str">
        <x:v>支持恢复、设置、返回菜单和完整结果成果。</x:v>
      </x:c>
      <x:c r="H88" s="64" t="str">
        <x:v>P0</x:v>
      </x:c>
      <x:c r="I88" s="64" t="str">
        <x:v>P5-001,P4-010</x:v>
      </x:c>
      <x:c r="J88" s="64" t="str">
        <x:v>A5UI</x:v>
      </x:c>
      <x:c r="K88" s="70" t="n">
        <x:v>10</x:v>
      </x:c>
      <x:c r="L88" s="70" t="n">
        <x:v>16</x:v>
      </x:c>
      <x:c r="M88" s="64" t="str">
        <x:v>中</x:v>
      </x:c>
      <x:c r="N88" s="64" t="str">
        <x:v>程序预算</x:v>
      </x:c>
      <x:c r="O88" s="64" t="str">
        <x:v>暂停/设置不破坏阶段状态，结果结束原因、排名和成果正确。</x:v>
      </x:c>
      <x:c r="P88" s="64" t="str">
        <x:v>未开始</x:v>
      </x:c>
      <x:c r="Q88" s="73"/>
      <x:c r="R88" s="65" t="str"/>
    </x:row>
    <x:row r="89" ht="42" customHeight="1">
      <x:c r="A89" s="63" t="str">
        <x:v>P5-009</x:v>
      </x:c>
      <x:c r="B89" s="64" t="str">
        <x:v>阶段5 UI与玩法验证</x:v>
      </x:c>
      <x:c r="C89" s="64" t="str">
        <x:v>G5 First Playable验收</x:v>
      </x:c>
      <x:c r="D89" s="64" t="str">
        <x:v>技术美术与特效</x:v>
      </x:c>
      <x:c r="E89" s="64" t="str">
        <x:v>纹身视觉</x:v>
      </x:c>
      <x:c r="F89" s="64" t="str">
        <x:v>接入P01/P02身体部位纹身表现</x:v>
      </x:c>
      <x:c r="G89" s="64" t="str">
        <x:v>在角色六部位正确投射/绑定图案与元素颜色。</x:v>
      </x:c>
      <x:c r="H89" s="64" t="str">
        <x:v>P0</x:v>
      </x:c>
      <x:c r="I89" s="64" t="str">
        <x:v>P1-012,P3-004,ART-G1-001</x:v>
      </x:c>
      <x:c r="J89" s="64" t="str">
        <x:v>A5ART</x:v>
      </x:c>
      <x:c r="K89" s="70" t="n">
        <x:v>10</x:v>
      </x:c>
      <x:c r="L89" s="70" t="n">
        <x:v>16</x:v>
      </x:c>
      <x:c r="M89" s="64" t="str">
        <x:v>低</x:v>
      </x:c>
      <x:c r="N89" s="64" t="str">
        <x:v>美术资源预算</x:v>
      </x:c>
      <x:c r="O89" s="64" t="str">
        <x:v>美术替换不改变逻辑骨架，六部位位置、遮挡和多人实例正确。</x:v>
      </x:c>
      <x:c r="P89" s="64" t="str">
        <x:v>未开始</x:v>
      </x:c>
      <x:c r="Q89" s="73"/>
      <x:c r="R89" s="65" t="str"/>
    </x:row>
    <x:row r="90" ht="42" customHeight="1">
      <x:c r="A90" s="63" t="str">
        <x:v>P5-010</x:v>
      </x:c>
      <x:c r="B90" s="64" t="str">
        <x:v>阶段5 UI与玩法验证</x:v>
      </x:c>
      <x:c r="C90" s="64" t="str">
        <x:v>G5 First Playable验收</x:v>
      </x:c>
      <x:c r="D90" s="64" t="str">
        <x:v>技术美术与特效</x:v>
      </x:c>
      <x:c r="E90" s="64" t="str">
        <x:v>战斗表现</x:v>
      </x:c>
      <x:c r="F90" s="64" t="str">
        <x:v>接入枪击、弱点、元素、反应、护盾和击退反馈</x:v>
      </x:c>
      <x:c r="G90" s="64" t="str">
        <x:v>绑定事件队列表现延迟并保持逻辑结果即时序不变。</x:v>
      </x:c>
      <x:c r="H90" s="64" t="str">
        <x:v>P0</x:v>
      </x:c>
      <x:c r="I90" s="64" t="str">
        <x:v>P3-002,P3-015,ART-G1-001</x:v>
      </x:c>
      <x:c r="J90" s="64" t="str">
        <x:v>A5ART</x:v>
      </x:c>
      <x:c r="K90" s="70" t="n">
        <x:v>12</x:v>
      </x:c>
      <x:c r="L90" s="70" t="n">
        <x:v>18</x:v>
      </x:c>
      <x:c r="M90" s="64" t="str">
        <x:v>低</x:v>
      </x:c>
      <x:c r="N90" s="64" t="str">
        <x:v>美术资源预算</x:v>
      </x:c>
      <x:c r="O90" s="64" t="str">
        <x:v>玩家能区分直伤、间接伤害、弱点、三元素层级和三反应。</x:v>
      </x:c>
      <x:c r="P90" s="64" t="str">
        <x:v>未开始</x:v>
      </x:c>
      <x:c r="Q90" s="73"/>
      <x:c r="R90" s="65" t="str"/>
    </x:row>
    <x:row r="91" ht="42" customHeight="1">
      <x:c r="A91" s="63" t="str">
        <x:v>P5-011</x:v>
      </x:c>
      <x:c r="B91" s="64" t="str">
        <x:v>阶段5 UI与玩法验证</x:v>
      </x:c>
      <x:c r="C91" s="64" t="str">
        <x:v>G5 First Playable验收</x:v>
      </x:c>
      <x:c r="D91" s="64" t="str">
        <x:v>动画与交互动效</x:v>
      </x:c>
      <x:c r="E91" s="64" t="str">
        <x:v>角色动作</x:v>
      </x:c>
      <x:c r="F91" s="64" t="str">
        <x:v>接入移动、射击、闪避、倒地和救援动画</x:v>
      </x:c>
      <x:c r="G91" s="64" t="str">
        <x:v>统一动作状态、事件帧、混合、中断和Epoch安全。</x:v>
      </x:c>
      <x:c r="H91" s="64" t="str">
        <x:v>P0</x:v>
      </x:c>
      <x:c r="I91" s="64" t="str">
        <x:v>P2-009,P2-011,ART-G1-001</x:v>
      </x:c>
      <x:c r="J91" s="64" t="str">
        <x:v>A5ART</x:v>
      </x:c>
      <x:c r="K91" s="70" t="n">
        <x:v>12</x:v>
      </x:c>
      <x:c r="L91" s="70" t="n">
        <x:v>18</x:v>
      </x:c>
      <x:c r="M91" s="64" t="str">
        <x:v>低</x:v>
      </x:c>
      <x:c r="N91" s="64" t="str">
        <x:v>美术资源预算</x:v>
      </x:c>
      <x:c r="O91" s="64" t="str">
        <x:v>动画事件不重复、不迟到改变逻辑，动作结束兜底可靠。</x:v>
      </x:c>
      <x:c r="P91" s="64" t="str">
        <x:v>未开始</x:v>
      </x:c>
      <x:c r="Q91" s="73"/>
      <x:c r="R91" s="65" t="str"/>
    </x:row>
    <x:row r="92" ht="42" customHeight="1">
      <x:c r="A92" s="63" t="str">
        <x:v>P5-012</x:v>
      </x:c>
      <x:c r="B92" s="64" t="str">
        <x:v>阶段5 UI与玩法验证</x:v>
      </x:c>
      <x:c r="C92" s="64" t="str">
        <x:v>G5 First Playable验收</x:v>
      </x:c>
      <x:c r="D92" s="64" t="str">
        <x:v>配置与内容</x:v>
      </x:c>
      <x:c r="E92" s="64" t="str">
        <x:v>Bot配置</x:v>
      </x:c>
      <x:c r="F92" s="64" t="str">
        <x:v>Bot与首版内容调参</x:v>
      </x:c>
      <x:c r="G92" s="64" t="str">
        <x:v>录入Bot构筑预设、瞄准误差、资源倾向和效果使用策略。</x:v>
      </x:c>
      <x:c r="H92" s="64" t="str">
        <x:v>P0</x:v>
      </x:c>
      <x:c r="I92" s="64" t="str">
        <x:v>P4-012,P3-018</x:v>
      </x:c>
      <x:c r="J92" s="64" t="str">
        <x:v>A5</x:v>
      </x:c>
      <x:c r="K92" s="70" t="n">
        <x:v>10</x:v>
      </x:c>
      <x:c r="L92" s="70" t="n">
        <x:v>16</x:v>
      </x:c>
      <x:c r="M92" s="64" t="str">
        <x:v>低</x:v>
      </x:c>
      <x:c r="N92" s="64" t="str">
        <x:v>程序预算</x:v>
      </x:c>
      <x:c r="O92" s="64" t="str">
        <x:v>5个Bot能使用合法构筑且不依赖已取消的技能、角色或旧图案。</x:v>
      </x:c>
      <x:c r="P92" s="64" t="str">
        <x:v>未开始</x:v>
      </x:c>
      <x:c r="Q92" s="73"/>
      <x:c r="R92" s="65" t="str"/>
    </x:row>
    <x:row r="93" ht="42" customHeight="1">
      <x:c r="A93" s="63" t="str">
        <x:v>P5-013</x:v>
      </x:c>
      <x:c r="B93" s="64" t="str">
        <x:v>阶段5 UI与玩法验证</x:v>
      </x:c>
      <x:c r="C93" s="64" t="str">
        <x:v>G5 First Playable验收</x:v>
      </x:c>
      <x:c r="D93" s="64" t="str">
        <x:v>集成与阶段验收</x:v>
      </x:c>
      <x:c r="E93" s="64" t="str">
        <x:v>UI测试</x:v>
      </x:c>
      <x:c r="F93" s="64" t="str">
        <x:v>建立页面、输入焦点和格式回归</x:v>
      </x:c>
      <x:c r="G93" s="64" t="str">
        <x:v>覆盖主菜单、HUD、构筑、情报、请求、观战、设置、结果和分辨率。</x:v>
      </x:c>
      <x:c r="H93" s="64" t="str">
        <x:v>P0</x:v>
      </x:c>
      <x:c r="I93" s="64" t="str">
        <x:v>P5-002,P5-003,P5-004,P5-005,P5-006,P5-007,P5-008</x:v>
      </x:c>
      <x:c r="J93" s="64" t="str">
        <x:v>A5</x:v>
      </x:c>
      <x:c r="K93" s="70" t="n">
        <x:v>12</x:v>
      </x:c>
      <x:c r="L93" s="70" t="n">
        <x:v>18</x:v>
      </x:c>
      <x:c r="M93" s="64" t="str">
        <x:v>中</x:v>
      </x:c>
      <x:c r="N93" s="64" t="str">
        <x:v>程序预算</x:v>
      </x:c>
      <x:c r="O93" s="64" t="str">
        <x:v>关键页面无旧入口、空引用、越界文本或输入穿透。</x:v>
      </x:c>
      <x:c r="P93" s="64" t="str">
        <x:v>未开始</x:v>
      </x:c>
      <x:c r="Q93" s="73"/>
      <x:c r="R93" s="65" t="str"/>
    </x:row>
    <x:row r="94" ht="42" customHeight="1">
      <x:c r="A94" s="63" t="str">
        <x:v>P5-014</x:v>
      </x:c>
      <x:c r="B94" s="64" t="str">
        <x:v>阶段5 UI与玩法验证</x:v>
      </x:c>
      <x:c r="C94" s="64" t="str">
        <x:v>G5 First Playable验收</x:v>
      </x:c>
      <x:c r="D94" s="64" t="str">
        <x:v>集成与阶段验收</x:v>
      </x:c>
      <x:c r="E94" s="64" t="str">
        <x:v>稳定性</x:v>
      </x:c>
      <x:c r="F94" s="64" t="str">
        <x:v>执行20局Bot快速模式稳定性</x:v>
      </x:c>
      <x:c r="G94" s="64" t="str">
        <x:v>固定与变化seed覆盖五轮、撤离、淘汰、重载和结果返回。</x:v>
      </x:c>
      <x:c r="H94" s="64" t="str">
        <x:v>P0</x:v>
      </x:c>
      <x:c r="I94" s="64" t="str">
        <x:v>P5-012,P5-013</x:v>
      </x:c>
      <x:c r="J94" s="64" t="str">
        <x:v>A5</x:v>
      </x:c>
      <x:c r="K94" s="70" t="n">
        <x:v>8</x:v>
      </x:c>
      <x:c r="L94" s="70" t="n">
        <x:v>14</x:v>
      </x:c>
      <x:c r="M94" s="64" t="str">
        <x:v>中</x:v>
      </x:c>
      <x:c r="N94" s="64" t="str">
        <x:v>程序预算</x:v>
      </x:c>
      <x:c r="O94" s="64" t="str">
        <x:v>20局无崩溃、死锁、永久无敌、跨局残留或阶段停滞。</x:v>
      </x:c>
      <x:c r="P94" s="64" t="str">
        <x:v>未开始</x:v>
      </x:c>
      <x:c r="Q94" s="73"/>
      <x:c r="R94" s="65" t="str"/>
    </x:row>
    <x:row r="95" ht="42" customHeight="1">
      <x:c r="A95" s="63" t="str">
        <x:v>P5-015</x:v>
      </x:c>
      <x:c r="B95" s="64" t="str">
        <x:v>阶段5 UI与玩法验证</x:v>
      </x:c>
      <x:c r="C95" s="64" t="str">
        <x:v>G5 First Playable验收</x:v>
      </x:c>
      <x:c r="D95" s="64" t="str">
        <x:v>集成与阶段验收</x:v>
      </x:c>
      <x:c r="E95" s="64" t="str">
        <x:v>全量验证</x:v>
      </x:c>
      <x:c r="F95" s="64" t="str">
        <x:v>运行编译、EditMode、PlayMode和GF_X全量诊断</x:v>
      </x:c>
      <x:c r="G95" s="64" t="str">
        <x:v>按项目规定入口生成结构化报告并处理重构范围失败。</x:v>
      </x:c>
      <x:c r="H95" s="64" t="str">
        <x:v>P0</x:v>
      </x:c>
      <x:c r="I95" s="64" t="str">
        <x:v>P5-009,P5-010,P5-011,P5-013,P5-014,ART-G2-001</x:v>
      </x:c>
      <x:c r="J95" s="64" t="str">
        <x:v>A5</x:v>
      </x:c>
      <x:c r="K95" s="70" t="n">
        <x:v>12</x:v>
      </x:c>
      <x:c r="L95" s="70" t="n">
        <x:v>18</x:v>
      </x:c>
      <x:c r="M95" s="64" t="str">
        <x:v>中</x:v>
      </x:c>
      <x:c r="N95" s="64" t="str">
        <x:v>程序预算</x:v>
      </x:c>
      <x:c r="O95" s="64" t="str">
        <x:v>重构范围错误和失败为0；范围外豁免有明确证据且不隐藏告警。</x:v>
      </x:c>
      <x:c r="P95" s="64" t="str">
        <x:v>未开始</x:v>
      </x:c>
      <x:c r="Q95" s="73"/>
      <x:c r="R95" s="65" t="str"/>
    </x:row>
    <x:row r="96" ht="42" customHeight="1">
      <x:c r="A96" s="63" t="str">
        <x:v>P5-016</x:v>
      </x:c>
      <x:c r="B96" s="64" t="str">
        <x:v>阶段5 UI与玩法验证</x:v>
      </x:c>
      <x:c r="C96" s="64" t="str">
        <x:v>G5 First Playable验收</x:v>
      </x:c>
      <x:c r="D96" s="64" t="str">
        <x:v>集成与阶段验收</x:v>
      </x:c>
      <x:c r="E96" s="64" t="str">
        <x:v>最终清理</x:v>
      </x:c>
      <x:c r="F96" s="64" t="str">
        <x:v>执行旧业务零引用物理清理</x:v>
      </x:c>
      <x:c r="G96" s="64" t="str">
        <x:v>删除旧服务、表、Catalog字段、UI、测试、诊断和不采用的运行时资源。</x:v>
      </x:c>
      <x:c r="H96" s="64" t="str">
        <x:v>P0</x:v>
      </x:c>
      <x:c r="I96" s="64" t="str">
        <x:v>P5-015,P0-009</x:v>
      </x:c>
      <x:c r="J96" s="64" t="str">
        <x:v>A5</x:v>
      </x:c>
      <x:c r="K96" s="70" t="n">
        <x:v>12</x:v>
      </x:c>
      <x:c r="L96" s="70" t="n">
        <x:v>18</x:v>
      </x:c>
      <x:c r="M96" s="64" t="str">
        <x:v>低</x:v>
      </x:c>
      <x:c r="N96" s="64" t="str">
        <x:v>程序预算</x:v>
      </x:c>
      <x:c r="O96" s="64" t="str">
        <x:v>项目编译与全量验证通过，Scene/Prefab无Missing Script，旧入口搜索结果为0或有保留说明。</x:v>
      </x:c>
      <x:c r="P96" s="64" t="str">
        <x:v>未开始</x:v>
      </x:c>
      <x:c r="Q96" s="73"/>
      <x:c r="R96" s="65" t="str"/>
    </x:row>
    <x:row r="97" ht="42" customHeight="1">
      <x:c r="A97" s="63" t="str">
        <x:v>P5-017</x:v>
      </x:c>
      <x:c r="B97" s="64" t="str">
        <x:v>阶段5 UI与玩法验证</x:v>
      </x:c>
      <x:c r="C97" s="64" t="str">
        <x:v>G5 First Playable验收</x:v>
      </x:c>
      <x:c r="D97" s="64" t="str">
        <x:v>集成与阶段验收</x:v>
      </x:c>
      <x:c r="E97" s="64" t="str">
        <x:v>试玩工具</x:v>
      </x:c>
      <x:c r="F97" s="64" t="str">
        <x:v>建立人工试玩记录与数据导出</x:v>
      </x:c>
      <x:c r="G97" s="64" t="str">
        <x:v>记录构筑选择、反制、TTK、元素、救援、撤离、理解问题和调试按钮使用。</x:v>
      </x:c>
      <x:c r="H97" s="64" t="str">
        <x:v>P0</x:v>
      </x:c>
      <x:c r="I97" s="64" t="str">
        <x:v>P5-015</x:v>
      </x:c>
      <x:c r="J97" s="64" t="str">
        <x:v>A5</x:v>
      </x:c>
      <x:c r="K97" s="70" t="n">
        <x:v>8</x:v>
      </x:c>
      <x:c r="L97" s="70" t="n">
        <x:v>14</x:v>
      </x:c>
      <x:c r="M97" s="64" t="str">
        <x:v>中</x:v>
      </x:c>
      <x:c r="N97" s="64" t="str">
        <x:v>程序预算</x:v>
      </x:c>
      <x:c r="O97" s="64" t="str">
        <x:v>每局可导出可比较记录，正式平衡试玩默认关闭测试治疗按钮。</x:v>
      </x:c>
      <x:c r="P97" s="64" t="str">
        <x:v>未开始</x:v>
      </x:c>
      <x:c r="Q97" s="73"/>
      <x:c r="R97" s="65" t="str"/>
    </x:row>
    <x:row r="98" ht="42" customHeight="1">
      <x:c r="A98" s="63" t="str">
        <x:v>P5-018</x:v>
      </x:c>
      <x:c r="B98" s="64" t="str">
        <x:v>阶段5 UI与玩法验证</x:v>
      </x:c>
      <x:c r="C98" s="64" t="str">
        <x:v>G5 First Playable验收</x:v>
      </x:c>
      <x:c r="D98" s="64" t="str">
        <x:v>集成与阶段验收</x:v>
      </x:c>
      <x:c r="E98" s="64" t="str">
        <x:v>人工试玩</x:v>
      </x:c>
      <x:c r="F98" s="64" t="str">
        <x:v>执行多轮First Playable玩法验证</x:v>
      </x:c>
      <x:c r="G98" s="64" t="str">
        <x:v>按验收计划完成真人试玩、问题分级和下一轮数值建议。</x:v>
      </x:c>
      <x:c r="H98" s="64" t="str">
        <x:v>P0</x:v>
      </x:c>
      <x:c r="I98" s="64" t="str">
        <x:v>P5-016,P5-017</x:v>
      </x:c>
      <x:c r="J98" s="64" t="str">
        <x:v>A5</x:v>
      </x:c>
      <x:c r="K98" s="70" t="n">
        <x:v>12</x:v>
      </x:c>
      <x:c r="L98" s="70" t="n">
        <x:v>18</x:v>
      </x:c>
      <x:c r="M98" s="64" t="str">
        <x:v>低</x:v>
      </x:c>
      <x:c r="N98" s="64" t="str">
        <x:v>程序预算</x:v>
      </x:c>
      <x:c r="O98" s="64" t="str">
        <x:v>能区分技术问题与玩法问题，并回答构筑反制、信息密度和五轮节奏核心问题。</x:v>
      </x:c>
      <x:c r="P98" s="64" t="str">
        <x:v>未开始</x:v>
      </x:c>
      <x:c r="Q98" s="73"/>
      <x:c r="R98" s="65" t="str"/>
    </x:row>
    <x:row r="99" ht="42" customHeight="1">
      <x:c r="A99" s="63" t="str">
        <x:v>G5-001</x:v>
      </x:c>
      <x:c r="B99" s="64" t="str">
        <x:v>阶段5 UI与玩法验证</x:v>
      </x:c>
      <x:c r="C99" s="64" t="str">
        <x:v>G5 First Playable验收</x:v>
      </x:c>
      <x:c r="D99" s="64" t="str">
        <x:v>集成与阶段验收</x:v>
      </x:c>
      <x:c r="E99" s="64" t="str">
        <x:v>阶段验收</x:v>
      </x:c>
      <x:c r="F99" s="64" t="str">
        <x:v>First Playable最终验收</x:v>
      </x:c>
      <x:c r="G99" s="64" t="str">
        <x:v>审核结构闭环、正式资源、旧链清理、自动化证据和真人试玩结果。</x:v>
      </x:c>
      <x:c r="H99" s="64" t="str">
        <x:v>P0</x:v>
      </x:c>
      <x:c r="I99" s="64" t="str">
        <x:v>P5-018</x:v>
      </x:c>
      <x:c r="J99" s="64" t="str">
        <x:v>G5</x:v>
      </x:c>
      <x:c r="K99" s="70" t="n">
        <x:v>10</x:v>
      </x:c>
      <x:c r="L99" s="70" t="n">
        <x:v>16</x:v>
      </x:c>
      <x:c r="M99" s="64" t="str">
        <x:v>高</x:v>
      </x:c>
      <x:c r="N99" s="64" t="str">
        <x:v>程序预算</x:v>
      </x:c>
      <x:c r="O99" s="64" t="str">
        <x:v>完整流程可独立运行；若玩法未验证，只声明技术切片完成并形成迭代清单。</x:v>
      </x:c>
      <x:c r="P99" s="64" t="str">
        <x:v>未开始</x:v>
      </x:c>
      <x:c r="Q99" s="73"/>
      <x:c r="R99" s="65" t="str"/>
    </x:row>
    <x:row r="100" ht="42" customHeight="1">
      <x:c r="A100" s="63" t="str">
        <x:v>ART0-001</x:v>
      </x:c>
      <x:c r="B100" s="64" t="str">
        <x:v>并行美术0 资产复验</x:v>
      </x:c>
      <x:c r="C100" s="64" t="str">
        <x:v>ART-G0 资产与缺口基线</x:v>
      </x:c>
      <x:c r="D100" s="64" t="str">
        <x:v>美术方向与规范</x:v>
      </x:c>
      <x:c r="E100" s="64" t="str">
        <x:v>现有资产</x:v>
      </x:c>
      <x:c r="F100" s="64" t="str">
        <x:v>复验场景与交互物完成状态</x:v>
      </x:c>
      <x:c r="G100" s="64" t="str">
        <x:v>核对OasisCity和12个交互物的视觉、材质、碰撞与锚点接口。</x:v>
      </x:c>
      <x:c r="H100" s="64" t="str">
        <x:v>P0</x:v>
      </x:c>
      <x:c r="I100" s="64" t="str">
        <x:v>P0-003</x:v>
      </x:c>
      <x:c r="J100" s="64" t="str">
        <x:v>ART-RND</x:v>
      </x:c>
      <x:c r="K100" s="70" t="n">
        <x:v>6</x:v>
      </x:c>
      <x:c r="L100" s="70" t="n">
        <x:v>10</x:v>
      </x:c>
      <x:c r="M100" s="64" t="str">
        <x:v>高</x:v>
      </x:c>
      <x:c r="N100" s="64" t="str">
        <x:v>美术资源预算</x:v>
      </x:c>
      <x:c r="O100" s="64" t="str">
        <x:v>每项资产明确直接接入、局部修正或不采用，不重复安排已完成制作。</x:v>
      </x:c>
      <x:c r="P100" s="64" t="str">
        <x:v>待复验</x:v>
      </x:c>
      <x:c r="Q100" s="73"/>
      <x:c r="R100" s="65" t="str"/>
    </x:row>
    <x:row r="101" ht="42" customHeight="1">
      <x:c r="A101" s="63" t="str">
        <x:v>ART0-002</x:v>
      </x:c>
      <x:c r="B101" s="64" t="str">
        <x:v>并行美术0 资产复验</x:v>
      </x:c>
      <x:c r="C101" s="64" t="str">
        <x:v>ART-G0 资产与缺口基线</x:v>
      </x:c>
      <x:c r="D101" s="64" t="str">
        <x:v>3D资产与材质</x:v>
      </x:c>
      <x:c r="E101" s="64" t="str">
        <x:v>角色缺口与武器</x:v>
      </x:c>
      <x:c r="F101" s="64" t="str">
        <x:v>确认角色缺口并复验步枪资源</x:v>
      </x:c>
      <x:c r="G101" s="64" t="str">
        <x:v>确认正式角色模型、Prefab和动画尚未制作；核对现有GUN_001模型、材质、挂点、碰撞和单步枪接入边界。</x:v>
      </x:c>
      <x:c r="H101" s="64" t="str">
        <x:v>P0</x:v>
      </x:c>
      <x:c r="I101" s="64" t="str">
        <x:v>P0-003</x:v>
      </x:c>
      <x:c r="J101" s="64" t="str">
        <x:v>ART-RND</x:v>
      </x:c>
      <x:c r="K101" s="70" t="n">
        <x:v>6</x:v>
      </x:c>
      <x:c r="L101" s="70" t="n">
        <x:v>12</x:v>
      </x:c>
      <x:c r="M101" s="64" t="str">
        <x:v>中</x:v>
      </x:c>
      <x:c r="N101" s="64" t="str">
        <x:v>美术资源预算</x:v>
      </x:c>
      <x:c r="O101" s="64" t="str">
        <x:v>角色缺口进入制作计划；现有步枪资产接口明确，旧多武器资源不进入运行。</x:v>
      </x:c>
      <x:c r="P101" s="64" t="str">
        <x:v>待复验</x:v>
      </x:c>
      <x:c r="Q101" s="73"/>
      <x:c r="R101" s="65" t="str"/>
    </x:row>
    <x:row r="102" ht="42" customHeight="1">
      <x:c r="A102" s="63" t="str">
        <x:v>ART0-003</x:v>
      </x:c>
      <x:c r="B102" s="64" t="str">
        <x:v>并行美术0 资产复验</x:v>
      </x:c>
      <x:c r="C102" s="64" t="str">
        <x:v>ART-G0 资产与缺口基线</x:v>
      </x:c>
      <x:c r="D102" s="64" t="str">
        <x:v>UI视觉与图标</x:v>
      </x:c>
      <x:c r="E102" s="64" t="str">
        <x:v>UI覆盖</x:v>
      </x:c>
      <x:c r="F102" s="64" t="str">
        <x:v>核对已确认UI资源的策划覆盖</x:v>
      </x:c>
      <x:c r="G102" s="64" t="str">
        <x:v>以Assets/Game/Sprites/UI/FirstPlayable为已确认基线，逐页核对主菜单、HUD、构筑、情报、请求、观战和结果缺口。</x:v>
      </x:c>
      <x:c r="H102" s="64" t="str">
        <x:v>P0</x:v>
      </x:c>
      <x:c r="I102" s="64" t="str">
        <x:v>P0-006</x:v>
      </x:c>
      <x:c r="J102" s="64" t="str">
        <x:v>ART-RND</x:v>
      </x:c>
      <x:c r="K102" s="70" t="n">
        <x:v>8</x:v>
      </x:c>
      <x:c r="L102" s="70" t="n">
        <x:v>14</x:v>
      </x:c>
      <x:c r="M102" s="64" t="str">
        <x:v>中</x:v>
      </x:c>
      <x:c r="N102" s="64" t="str">
        <x:v>美术资源预算</x:v>
      </x:c>
      <x:c r="O102" s="64" t="str">
        <x:v>形成已覆盖与尚未制作清单；现存FirstPlayable资源不得重新标记为未确认，旧七元素/旧图案语义不得混入。</x:v>
      </x:c>
      <x:c r="P102" s="64" t="str">
        <x:v>待复验</x:v>
      </x:c>
      <x:c r="Q102" s="73"/>
      <x:c r="R102" s="65" t="str"/>
    </x:row>
    <x:row r="103" ht="42" customHeight="1">
      <x:c r="A103" s="63" t="str">
        <x:v>ART0-004</x:v>
      </x:c>
      <x:c r="B103" s="64" t="str">
        <x:v>并行美术0 资产复验</x:v>
      </x:c>
      <x:c r="C103" s="64" t="str">
        <x:v>ART-G0 资产与缺口基线</x:v>
      </x:c>
      <x:c r="D103" s="64" t="str">
        <x:v>动画与交互动效</x:v>
      </x:c>
      <x:c r="E103" s="64" t="str">
        <x:v>动作合同</x:v>
      </x:c>
      <x:c r="F103" s="64" t="str">
        <x:v>建立第一版动作与事件帧矩阵</x:v>
      </x:c>
      <x:c r="G103" s="64" t="str">
        <x:v>定义移动、射击、闪避、倒地、救援及闪避第2/6/结束帧事件。</x:v>
      </x:c>
      <x:c r="H103" s="64" t="str">
        <x:v>P0</x:v>
      </x:c>
      <x:c r="I103" s="64" t="str">
        <x:v>P2-008,ART0-002</x:v>
      </x:c>
      <x:c r="J103" s="64" t="str">
        <x:v>ART-RND</x:v>
      </x:c>
      <x:c r="K103" s="70" t="n">
        <x:v>8</x:v>
      </x:c>
      <x:c r="L103" s="70" t="n">
        <x:v>14</x:v>
      </x:c>
      <x:c r="M103" s="64" t="str">
        <x:v>中</x:v>
      </x:c>
      <x:c r="N103" s="64" t="str">
        <x:v>美术资源预算</x:v>
      </x:c>
      <x:c r="O103" s="64" t="str">
        <x:v>动作名、时长、循环、中断、事件和挂点合同可直接交给程序接入。</x:v>
      </x:c>
      <x:c r="P103" s="64" t="str">
        <x:v>未开始</x:v>
      </x:c>
      <x:c r="Q103" s="73"/>
      <x:c r="R103" s="65" t="str"/>
    </x:row>
    <x:row r="104" ht="42" customHeight="1">
      <x:c r="A104" s="63" t="str">
        <x:v>ART0-005</x:v>
      </x:c>
      <x:c r="B104" s="64" t="str">
        <x:v>并行美术0 资产复验</x:v>
      </x:c>
      <x:c r="C104" s="64" t="str">
        <x:v>ART-G0 资产与缺口基线</x:v>
      </x:c>
      <x:c r="D104" s="64" t="str">
        <x:v>技术美术与特效</x:v>
      </x:c>
      <x:c r="E104" s="64" t="str">
        <x:v>表现合同</x:v>
      </x:c>
      <x:c r="F104" s="64" t="str">
        <x:v>建立纹身、元素、反应与伤害反馈矩阵</x:v>
      </x:c>
      <x:c r="G104" s="64" t="str">
        <x:v>定义三层元素、三反应、弱点、护盾、击退和直接/间接伤害表现。</x:v>
      </x:c>
      <x:c r="H104" s="64" t="str">
        <x:v>P0</x:v>
      </x:c>
      <x:c r="I104" s="64" t="str">
        <x:v>P3-005,P3-015</x:v>
      </x:c>
      <x:c r="J104" s="64" t="str">
        <x:v>ART-RND</x:v>
      </x:c>
      <x:c r="K104" s="70" t="n">
        <x:v>8</x:v>
      </x:c>
      <x:c r="L104" s="70" t="n">
        <x:v>14</x:v>
      </x:c>
      <x:c r="M104" s="64" t="str">
        <x:v>低</x:v>
      </x:c>
      <x:c r="N104" s="64" t="str">
        <x:v>美术资源预算</x:v>
      </x:c>
      <x:c r="O104" s="64" t="str">
        <x:v>每个逻辑事件有可区分表现且不会遮蔽准星、弱点或敌我信息。</x:v>
      </x:c>
      <x:c r="P104" s="64" t="str">
        <x:v>未开始</x:v>
      </x:c>
      <x:c r="Q104" s="73"/>
      <x:c r="R104" s="65" t="str"/>
    </x:row>
    <x:row r="105" ht="42" customHeight="1">
      <x:c r="A105" s="63" t="str">
        <x:v>ART-G0-001</x:v>
      </x:c>
      <x:c r="B105" s="64" t="str">
        <x:v>并行美术0 资产复验</x:v>
      </x:c>
      <x:c r="C105" s="64" t="str">
        <x:v>ART-G0 资产与缺口基线</x:v>
      </x:c>
      <x:c r="D105" s="64" t="str">
        <x:v>美术集成与验收</x:v>
      </x:c>
      <x:c r="E105" s="64" t="str">
        <x:v>阶段验收</x:v>
      </x:c>
      <x:c r="F105" s="64" t="str">
        <x:v>保留资产与缺口基线验收</x:v>
      </x:c>
      <x:c r="G105" s="64" t="str">
        <x:v>确认现存美术全部保留、实际覆盖缺口、角色未制作状态和主工程接口。</x:v>
      </x:c>
      <x:c r="H105" s="64" t="str">
        <x:v>P0</x:v>
      </x:c>
      <x:c r="I105" s="64" t="str">
        <x:v>ART0-001,ART0-002,ART0-003,ART0-004,ART0-005</x:v>
      </x:c>
      <x:c r="J105" s="64" t="str">
        <x:v>ART-G0</x:v>
      </x:c>
      <x:c r="K105" s="70" t="n">
        <x:v>6</x:v>
      </x:c>
      <x:c r="L105" s="70" t="n">
        <x:v>10</x:v>
      </x:c>
      <x:c r="M105" s="64" t="str">
        <x:v>高</x:v>
      </x:c>
      <x:c r="N105" s="64" t="str">
        <x:v>美术资源预算</x:v>
      </x:c>
      <x:c r="O105" s="64" t="str">
        <x:v>后续只生产工程中不存在的明确缺口，程序和美术对运行时接口没有冲突。</x:v>
      </x:c>
      <x:c r="P105" s="64" t="str">
        <x:v>未开始</x:v>
      </x:c>
      <x:c r="Q105" s="73"/>
      <x:c r="R105" s="65" t="str"/>
    </x:row>
    <x:row r="106" ht="42" customHeight="1">
      <x:c r="A106" s="63" t="str">
        <x:v>ART1-001</x:v>
      </x:c>
      <x:c r="B106" s="64" t="str">
        <x:v>并行美术1 缺口制作</x:v>
      </x:c>
      <x:c r="C106" s="64" t="str">
        <x:v>ART-G1 缺口资源完成</x:v>
      </x:c>
      <x:c r="D106" s="64" t="str">
        <x:v>UI视觉与图标</x:v>
      </x:c>
      <x:c r="E106" s="64" t="str">
        <x:v>主菜单与通用组件</x:v>
      </x:c>
      <x:c r="F106" s="64" t="str">
        <x:v>补齐主菜单、按钮、面板和输入状态资源</x:v>
      </x:c>
      <x:c r="G106" s="64" t="str">
        <x:v>按已确认视觉方案输出可切片、可缩放、无烘焙文案的正式资源。</x:v>
      </x:c>
      <x:c r="H106" s="64" t="str">
        <x:v>P0</x:v>
      </x:c>
      <x:c r="I106" s="64" t="str">
        <x:v>ART-G0-001</x:v>
      </x:c>
      <x:c r="J106" s="64" t="str">
        <x:v>ART-UI</x:v>
      </x:c>
      <x:c r="K106" s="70" t="n">
        <x:v>10</x:v>
      </x:c>
      <x:c r="L106" s="70" t="n">
        <x:v>16</x:v>
      </x:c>
      <x:c r="M106" s="64" t="str">
        <x:v>中</x:v>
      </x:c>
      <x:c r="N106" s="64" t="str">
        <x:v>美术资源预算</x:v>
      </x:c>
      <x:c r="O106" s="64" t="str">
        <x:v>主菜单和通用组件覆盖normal/focused/pressed/disabled并通过切片检查。</x:v>
      </x:c>
      <x:c r="P106" s="64" t="str">
        <x:v>未开始</x:v>
      </x:c>
      <x:c r="Q106" s="73"/>
      <x:c r="R106" s="65" t="str"/>
    </x:row>
    <x:row r="107" ht="42" customHeight="1">
      <x:c r="A107" s="63" t="str">
        <x:v>ART1-002</x:v>
      </x:c>
      <x:c r="B107" s="64" t="str">
        <x:v>并行美术1 缺口制作</x:v>
      </x:c>
      <x:c r="C107" s="64" t="str">
        <x:v>ART-G1 缺口资源完成</x:v>
      </x:c>
      <x:c r="D107" s="64" t="str">
        <x:v>UI视觉与图标</x:v>
      </x:c>
      <x:c r="E107" s="64" t="str">
        <x:v>HUD</x:v>
      </x:c>
      <x:c r="F107" s="64" t="str">
        <x:v>补齐战斗HUD和状态图标</x:v>
      </x:c>
      <x:c r="G107" s="64" t="str">
        <x:v>制作生命、护盾、阶段、颜料、元素、冷却、准星、受击和撤离资源。</x:v>
      </x:c>
      <x:c r="H107" s="64" t="str">
        <x:v>P0</x:v>
      </x:c>
      <x:c r="I107" s="64" t="str">
        <x:v>ART-G0-001</x:v>
      </x:c>
      <x:c r="J107" s="64" t="str">
        <x:v>ART-UI</x:v>
      </x:c>
      <x:c r="K107" s="70" t="n">
        <x:v>12</x:v>
      </x:c>
      <x:c r="L107" s="70" t="n">
        <x:v>18</x:v>
      </x:c>
      <x:c r="M107" s="64" t="str">
        <x:v>中</x:v>
      </x:c>
      <x:c r="N107" s="64" t="str">
        <x:v>美术资源预算</x:v>
      </x:c>
      <x:c r="O107" s="64" t="str">
        <x:v>1080p/720p/4K语义清晰，三元素且仅P01/P02，不包含旧七元素。</x:v>
      </x:c>
      <x:c r="P107" s="64" t="str">
        <x:v>未开始</x:v>
      </x:c>
      <x:c r="Q107" s="73"/>
      <x:c r="R107" s="65" t="str"/>
    </x:row>
    <x:row r="108" ht="42" customHeight="1">
      <x:c r="A108" s="63" t="str">
        <x:v>ART1-003</x:v>
      </x:c>
      <x:c r="B108" s="64" t="str">
        <x:v>并行美术1 缺口制作</x:v>
      </x:c>
      <x:c r="C108" s="64" t="str">
        <x:v>ART-G1 缺口资源完成</x:v>
      </x:c>
      <x:c r="D108" s="64" t="str">
        <x:v>UI视觉与图标</x:v>
      </x:c>
      <x:c r="E108" s="64" t="str">
        <x:v>构筑情报</x:v>
      </x:c>
      <x:c r="F108" s="64" t="str">
        <x:v>补齐构筑、情报、请求与结果资源</x:v>
      </x:c>
      <x:c r="G108" s="64" t="str">
        <x:v>制作六部位、P01/P02槽、成果表、请求弹窗、观战和结果壳体。</x:v>
      </x:c>
      <x:c r="H108" s="64" t="str">
        <x:v>P0</x:v>
      </x:c>
      <x:c r="I108" s="64" t="str">
        <x:v>ART-G0-001</x:v>
      </x:c>
      <x:c r="J108" s="64" t="str">
        <x:v>ART-UI</x:v>
      </x:c>
      <x:c r="K108" s="70" t="n">
        <x:v>12</x:v>
      </x:c>
      <x:c r="L108" s="70" t="n">
        <x:v>18</x:v>
      </x:c>
      <x:c r="M108" s="64" t="str">
        <x:v>中</x:v>
      </x:c>
      <x:c r="N108" s="64" t="str">
        <x:v>美术资源预算</x:v>
      </x:c>
      <x:c r="O108" s="64" t="str">
        <x:v>动态数据和文案保留运行时插槽，基础/局内属性可非纯色区分。</x:v>
      </x:c>
      <x:c r="P108" s="64" t="str">
        <x:v>未开始</x:v>
      </x:c>
      <x:c r="Q108" s="73"/>
      <x:c r="R108" s="65" t="str"/>
    </x:row>
    <x:row r="109" ht="42" customHeight="1">
      <x:c r="A109" s="63" t="str">
        <x:v>ART1-004</x:v>
      </x:c>
      <x:c r="B109" s="64" t="str">
        <x:v>并行美术1 缺口制作</x:v>
      </x:c>
      <x:c r="C109" s="64" t="str">
        <x:v>ART-G1 缺口资源完成</x:v>
      </x:c>
      <x:c r="D109" s="64" t="str">
        <x:v>动画与交互动效</x:v>
      </x:c>
      <x:c r="E109" s="64" t="str">
        <x:v>角色动作</x:v>
      </x:c>
      <x:c r="F109" s="64" t="str">
        <x:v>制作或修正第一版角色动作</x:v>
      </x:c>
      <x:c r="G109" s="64" t="str">
        <x:v>完成射击、闪避、倒地和救援动画及事件帧。</x:v>
      </x:c>
      <x:c r="H109" s="64" t="str">
        <x:v>P0</x:v>
      </x:c>
      <x:c r="I109" s="64" t="str">
        <x:v>ART0-004</x:v>
      </x:c>
      <x:c r="J109" s="64" t="str">
        <x:v>ART-MOTION</x:v>
      </x:c>
      <x:c r="K109" s="70" t="n">
        <x:v>12</x:v>
      </x:c>
      <x:c r="L109" s="70" t="n">
        <x:v>18</x:v>
      </x:c>
      <x:c r="M109" s="64" t="str">
        <x:v>低</x:v>
      </x:c>
      <x:c r="N109" s="64" t="str">
        <x:v>美术资源预算</x:v>
      </x:c>
      <x:c r="O109" s="64" t="str">
        <x:v>动作可循环/中断，闪避事件帧与0.67秒设计一致。</x:v>
      </x:c>
      <x:c r="P109" s="64" t="str">
        <x:v>未开始</x:v>
      </x:c>
      <x:c r="Q109" s="73"/>
      <x:c r="R109" s="65" t="str"/>
    </x:row>
    <x:row r="110" ht="42" customHeight="1">
      <x:c r="A110" s="63" t="str">
        <x:v>ART1-005</x:v>
      </x:c>
      <x:c r="B110" s="64" t="str">
        <x:v>并行美术1 缺口制作</x:v>
      </x:c>
      <x:c r="C110" s="64" t="str">
        <x:v>ART-G1 缺口资源完成</x:v>
      </x:c>
      <x:c r="D110" s="64" t="str">
        <x:v>技术美术与特效</x:v>
      </x:c>
      <x:c r="E110" s="64" t="str">
        <x:v>战斗VFX</x:v>
      </x:c>
      <x:c r="F110" s="64" t="str">
        <x:v>制作枪击、弱点、元素与反应VFX</x:v>
      </x:c>
      <x:c r="G110" s="64" t="str">
        <x:v>覆盖命中、头部、三元素层级、热冲击、过载、停滞、护盾和击退。</x:v>
      </x:c>
      <x:c r="H110" s="64" t="str">
        <x:v>P0</x:v>
      </x:c>
      <x:c r="I110" s="64" t="str">
        <x:v>ART0-005</x:v>
      </x:c>
      <x:c r="J110" s="64" t="str">
        <x:v>ART-VFX</x:v>
      </x:c>
      <x:c r="K110" s="70" t="n">
        <x:v>12</x:v>
      </x:c>
      <x:c r="L110" s="70" t="n">
        <x:v>18</x:v>
      </x:c>
      <x:c r="M110" s="64" t="str">
        <x:v>低</x:v>
      </x:c>
      <x:c r="N110" s="64" t="str">
        <x:v>美术资源预算</x:v>
      </x:c>
      <x:c r="O110" s="64" t="str">
        <x:v>敌我和伤害类型可读，粒子数量与透明叠加满足性能预算。</x:v>
      </x:c>
      <x:c r="P110" s="64" t="str">
        <x:v>未开始</x:v>
      </x:c>
      <x:c r="Q110" s="73"/>
      <x:c r="R110" s="65" t="str"/>
    </x:row>
    <x:row r="111" ht="42" customHeight="1">
      <x:c r="A111" s="63" t="str">
        <x:v>ART1-006</x:v>
      </x:c>
      <x:c r="B111" s="64" t="str">
        <x:v>并行美术1 缺口制作</x:v>
      </x:c>
      <x:c r="C111" s="64" t="str">
        <x:v>ART-G1 缺口资源完成</x:v>
      </x:c>
      <x:c r="D111" s="64" t="str">
        <x:v>技术美术与特效</x:v>
      </x:c>
      <x:c r="E111" s="64" t="str">
        <x:v>纹身表现</x:v>
      </x:c>
      <x:c r="F111" s="64" t="str">
        <x:v>制作P01/P02纹身运行时资源</x:v>
      </x:c>
      <x:c r="G111" s="64" t="str">
        <x:v>整理贴花、遮罩、颜色参数和六部位适配。</x:v>
      </x:c>
      <x:c r="H111" s="64" t="str">
        <x:v>P0</x:v>
      </x:c>
      <x:c r="I111" s="64" t="str">
        <x:v>ART-G0-001</x:v>
      </x:c>
      <x:c r="J111" s="64" t="str">
        <x:v>ART-VFX</x:v>
      </x:c>
      <x:c r="K111" s="70" t="n">
        <x:v>10</x:v>
      </x:c>
      <x:c r="L111" s="70" t="n">
        <x:v>16</x:v>
      </x:c>
      <x:c r="M111" s="64" t="str">
        <x:v>中</x:v>
      </x:c>
      <x:c r="N111" s="64" t="str">
        <x:v>美术资源预算</x:v>
      </x:c>
      <x:c r="O111" s="64" t="str">
        <x:v>只激活P01/P02，保留P03～P08资源但不显示为可用内容。</x:v>
      </x:c>
      <x:c r="P111" s="64" t="str">
        <x:v>未开始</x:v>
      </x:c>
      <x:c r="Q111" s="73"/>
      <x:c r="R111" s="65" t="str"/>
    </x:row>
    <x:row r="112" ht="42" customHeight="1">
      <x:c r="A112" s="63" t="str">
        <x:v>ART1-007</x:v>
      </x:c>
      <x:c r="B112" s="64" t="str">
        <x:v>并行美术1 缺口制作</x:v>
      </x:c>
      <x:c r="C112" s="64" t="str">
        <x:v>ART-G1 缺口资源完成</x:v>
      </x:c>
      <x:c r="D112" s="64" t="str">
        <x:v>美术与声音资源</x:v>
      </x:c>
      <x:c r="E112" s="64" t="str">
        <x:v>基础声音</x:v>
      </x:c>
      <x:c r="F112" s="64" t="str">
        <x:v>补齐首版射击、命中、元素、UI和阶段声音</x:v>
      </x:c>
      <x:c r="G112" s="64" t="str">
        <x:v>提供最小可读声音包和混音分组建议。</x:v>
      </x:c>
      <x:c r="H112" s="64" t="str">
        <x:v>P1</x:v>
      </x:c>
      <x:c r="I112" s="64" t="str">
        <x:v>ART-G0-001</x:v>
      </x:c>
      <x:c r="J112" s="64" t="str">
        <x:v>ART-AUDIO</x:v>
      </x:c>
      <x:c r="K112" s="70" t="n">
        <x:v>8</x:v>
      </x:c>
      <x:c r="L112" s="70" t="n">
        <x:v>14</x:v>
      </x:c>
      <x:c r="M112" s="64" t="str">
        <x:v>中</x:v>
      </x:c>
      <x:c r="N112" s="64" t="str">
        <x:v>美术资源预算</x:v>
      </x:c>
      <x:c r="O112" s="64" t="str">
        <x:v>关键战斗和阶段事件有独立提示，不依赖视觉也能识别重要反馈。</x:v>
      </x:c>
      <x:c r="P112" s="64" t="str">
        <x:v>未开始</x:v>
      </x:c>
      <x:c r="Q112" s="73"/>
      <x:c r="R112" s="65" t="str"/>
    </x:row>
    <x:row r="113" ht="42" customHeight="1">
      <x:c r="A113" s="63" t="str">
        <x:v>ART-G1-001</x:v>
      </x:c>
      <x:c r="B113" s="64" t="str">
        <x:v>并行美术1 缺口制作</x:v>
      </x:c>
      <x:c r="C113" s="64" t="str">
        <x:v>ART-G1 缺口资源完成</x:v>
      </x:c>
      <x:c r="D113" s="64" t="str">
        <x:v>美术集成与验收</x:v>
      </x:c>
      <x:c r="E113" s="64" t="str">
        <x:v>阶段验收</x:v>
      </x:c>
      <x:c r="F113" s="64" t="str">
        <x:v>First Playable缺口资源验收</x:v>
      </x:c>
      <x:c r="G113" s="64" t="str">
        <x:v>逐项检查UI、动画、VFX、纹身和声音交付。</x:v>
      </x:c>
      <x:c r="H113" s="64" t="str">
        <x:v>P0</x:v>
      </x:c>
      <x:c r="I113" s="64" t="str">
        <x:v>ART1-001,ART1-002,ART1-003,ART1-004,ART1-005,ART1-006</x:v>
      </x:c>
      <x:c r="J113" s="64" t="str">
        <x:v>ART-G1</x:v>
      </x:c>
      <x:c r="K113" s="70" t="n">
        <x:v>8</x:v>
      </x:c>
      <x:c r="L113" s="70" t="n">
        <x:v>12</x:v>
      </x:c>
      <x:c r="M113" s="64" t="str">
        <x:v>高</x:v>
      </x:c>
      <x:c r="N113" s="64" t="str">
        <x:v>美术资源预算</x:v>
      </x:c>
      <x:c r="O113" s="64" t="str">
        <x:v>P0资源满足专业和技术规格，可分批导入主工程；P1声音可独立后置。</x:v>
      </x:c>
      <x:c r="P113" s="64" t="str">
        <x:v>未开始</x:v>
      </x:c>
      <x:c r="Q113" s="73"/>
      <x:c r="R113" s="65" t="str"/>
    </x:row>
    <x:row r="114" ht="42" customHeight="1">
      <x:c r="A114" s="63" t="str">
        <x:v>ART2-001</x:v>
      </x:c>
      <x:c r="B114" s="64" t="str">
        <x:v>并行美术2 导入验收</x:v>
      </x:c>
      <x:c r="C114" s="64" t="str">
        <x:v>ART-G2 主工程表现验收</x:v>
      </x:c>
      <x:c r="D114" s="64" t="str">
        <x:v>美术集成与验收</x:v>
      </x:c>
      <x:c r="E114" s="64" t="str">
        <x:v>场景资产</x:v>
      </x:c>
      <x:c r="F114" s="64" t="str">
        <x:v>复验场景与交互物主工程表现</x:v>
      </x:c>
      <x:c r="G114" s="64" t="str">
        <x:v>检查材质、Shader、灯光、碰撞、锚点和性能。</x:v>
      </x:c>
      <x:c r="H114" s="64" t="str">
        <x:v>P0</x:v>
      </x:c>
      <x:c r="I114" s="64" t="str">
        <x:v>ART-G1-001,P4-007</x:v>
      </x:c>
      <x:c r="J114" s="64" t="str">
        <x:v>ART-INT</x:v>
      </x:c>
      <x:c r="K114" s="70" t="n">
        <x:v>8</x:v>
      </x:c>
      <x:c r="L114" s="70" t="n">
        <x:v>14</x:v>
      </x:c>
      <x:c r="M114" s="64" t="str">
        <x:v>中</x:v>
      </x:c>
      <x:c r="N114" s="64" t="str">
        <x:v>美术资源预算</x:v>
      </x:c>
      <x:c r="O114" s="64" t="str">
        <x:v>OasisCity和交互物不改变玩法接口，无粉材质、缺引用或阻挡异常。</x:v>
      </x:c>
      <x:c r="P114" s="64" t="str">
        <x:v>未开始</x:v>
      </x:c>
      <x:c r="Q114" s="73"/>
      <x:c r="R114" s="65" t="str"/>
    </x:row>
    <x:row r="115" ht="42" customHeight="1">
      <x:c r="A115" s="63" t="str">
        <x:v>ART2-002</x:v>
      </x:c>
      <x:c r="B115" s="64" t="str">
        <x:v>并行美术2 导入验收</x:v>
      </x:c>
      <x:c r="C115" s="64" t="str">
        <x:v>ART-G2 主工程表现验收</x:v>
      </x:c>
      <x:c r="D115" s="64" t="str">
        <x:v>美术集成与验收</x:v>
      </x:c>
      <x:c r="E115" s="64" t="str">
        <x:v>UI接入</x:v>
      </x:c>
      <x:c r="F115" s="64" t="str">
        <x:v>切片导入并绑定全部First Playable UI</x:v>
      </x:c>
      <x:c r="G115" s="64" t="str">
        <x:v>配置Importer、图集、九宫格、Canvas缩放和运行时状态。</x:v>
      </x:c>
      <x:c r="H115" s="64" t="str">
        <x:v>P0</x:v>
      </x:c>
      <x:c r="I115" s="64" t="str">
        <x:v>ART-G1-001,P5-001</x:v>
      </x:c>
      <x:c r="J115" s="64" t="str">
        <x:v>ART-INT</x:v>
      </x:c>
      <x:c r="K115" s="70" t="n">
        <x:v>12</x:v>
      </x:c>
      <x:c r="L115" s="70" t="n">
        <x:v>18</x:v>
      </x:c>
      <x:c r="M115" s="64" t="str">
        <x:v>低</x:v>
      </x:c>
      <x:c r="N115" s="64" t="str">
        <x:v>美术资源预算</x:v>
      </x:c>
      <x:c r="O115" s="64" t="str">
        <x:v>所有页面动态数据正确、无烘焙旧文案且分辨率检查通过。</x:v>
      </x:c>
      <x:c r="P115" s="64" t="str">
        <x:v>未开始</x:v>
      </x:c>
      <x:c r="Q115" s="73"/>
      <x:c r="R115" s="65" t="str"/>
    </x:row>
    <x:row r="116" ht="42" customHeight="1">
      <x:c r="A116" s="63" t="str">
        <x:v>ART2-003</x:v>
      </x:c>
      <x:c r="B116" s="64" t="str">
        <x:v>并行美术2 导入验收</x:v>
      </x:c>
      <x:c r="C116" s="64" t="str">
        <x:v>ART-G2 主工程表现验收</x:v>
      </x:c>
      <x:c r="D116" s="64" t="str">
        <x:v>美术集成与验收</x:v>
      </x:c>
      <x:c r="E116" s="64" t="str">
        <x:v>角色表现</x:v>
      </x:c>
      <x:c r="F116" s="64" t="str">
        <x:v>导入角色动画、纹身与战斗VFX</x:v>
      </x:c>
      <x:c r="G116" s="64" t="str">
        <x:v>绑定Animator、事件、挂点、贴花、材质和对象池。</x:v>
      </x:c>
      <x:c r="H116" s="64" t="str">
        <x:v>P0</x:v>
      </x:c>
      <x:c r="I116" s="64" t="str">
        <x:v>ART-G1-001,P5-009,P5-010,P5-011</x:v>
      </x:c>
      <x:c r="J116" s="64" t="str">
        <x:v>ART-INT</x:v>
      </x:c>
      <x:c r="K116" s="70" t="n">
        <x:v>12</x:v>
      </x:c>
      <x:c r="L116" s="70" t="n">
        <x:v>18</x:v>
      </x:c>
      <x:c r="M116" s="64" t="str">
        <x:v>低</x:v>
      </x:c>
      <x:c r="N116" s="64" t="str">
        <x:v>美术资源预算</x:v>
      </x:c>
      <x:c r="O116" s="64" t="str">
        <x:v>多人实例正确、事件时序安全、VFX无明显GC和过度Overdraw。</x:v>
      </x:c>
      <x:c r="P116" s="64" t="str">
        <x:v>未开始</x:v>
      </x:c>
      <x:c r="Q116" s="73"/>
      <x:c r="R116" s="65" t="str"/>
    </x:row>
    <x:row r="117" ht="42" customHeight="1">
      <x:c r="A117" s="63" t="str">
        <x:v>ART2-004</x:v>
      </x:c>
      <x:c r="B117" s="64" t="str">
        <x:v>并行美术2 导入验收</x:v>
      </x:c>
      <x:c r="C117" s="64" t="str">
        <x:v>ART-G2 主工程表现验收</x:v>
      </x:c>
      <x:c r="D117" s="64" t="str">
        <x:v>美术集成与验收</x:v>
      </x:c>
      <x:c r="E117" s="64" t="str">
        <x:v>全局一致性</x:v>
      </x:c>
      <x:c r="F117" s="64" t="str">
        <x:v>执行正式表现与性能审查</x:v>
      </x:c>
      <x:c r="G117" s="64" t="str">
        <x:v>从菜单到结果检查风格、信息、反馈、性能和缺失资源。</x:v>
      </x:c>
      <x:c r="H117" s="64" t="str">
        <x:v>P0</x:v>
      </x:c>
      <x:c r="I117" s="64" t="str">
        <x:v>ART2-001,ART2-002,ART2-003</x:v>
      </x:c>
      <x:c r="J117" s="64" t="str">
        <x:v>ART-INT</x:v>
      </x:c>
      <x:c r="K117" s="70" t="n">
        <x:v>8</x:v>
      </x:c>
      <x:c r="L117" s="70" t="n">
        <x:v>14</x:v>
      </x:c>
      <x:c r="M117" s="64" t="str">
        <x:v>中</x:v>
      </x:c>
      <x:c r="N117" s="64" t="str">
        <x:v>美术资源预算</x:v>
      </x:c>
      <x:c r="O117" s="64" t="str">
        <x:v>完整流程无占位、错误语义、严重遮挡或超预算表现。</x:v>
      </x:c>
      <x:c r="P117" s="64" t="str">
        <x:v>未开始</x:v>
      </x:c>
      <x:c r="Q117" s="73"/>
      <x:c r="R117" s="65" t="str"/>
    </x:row>
    <x:row r="118" ht="42" customHeight="1">
      <x:c r="A118" s="66" t="str">
        <x:v>ART-G2-001</x:v>
      </x:c>
      <x:c r="B118" s="67" t="str">
        <x:v>并行美术2 导入验收</x:v>
      </x:c>
      <x:c r="C118" s="67" t="str">
        <x:v>ART-G2 主工程表现验收</x:v>
      </x:c>
      <x:c r="D118" s="67" t="str">
        <x:v>美术集成与验收</x:v>
      </x:c>
      <x:c r="E118" s="67" t="str">
        <x:v>阶段验收</x:v>
      </x:c>
      <x:c r="F118" s="67" t="str">
        <x:v>主工程表现验收</x:v>
      </x:c>
      <x:c r="G118" s="67" t="str">
        <x:v>确认所有P0美术已绑定真实状态并满足可读性与性能。</x:v>
      </x:c>
      <x:c r="H118" s="67" t="str">
        <x:v>P0</x:v>
      </x:c>
      <x:c r="I118" s="67" t="str">
        <x:v>ART2-004</x:v>
      </x:c>
      <x:c r="J118" s="67" t="str">
        <x:v>ART-G2</x:v>
      </x:c>
      <x:c r="K118" s="71" t="n">
        <x:v>6</x:v>
      </x:c>
      <x:c r="L118" s="71" t="n">
        <x:v>10</x:v>
      </x:c>
      <x:c r="M118" s="67" t="str">
        <x:v>高</x:v>
      </x:c>
      <x:c r="N118" s="67" t="str">
        <x:v>美术资源预算</x:v>
      </x:c>
      <x:c r="O118" s="67" t="str">
        <x:v>正式资源不改变业务合同，完整流程通过表现与性能验收。</x:v>
      </x:c>
      <x:c r="P118" s="67" t="str">
        <x:v>未开始</x:v>
      </x:c>
      <x:c r="Q118" s="74"/>
      <x:c r="R118" s="68" t="str"/>
    </x:row>
  </x:sheetData>
  <x:conditionalFormatting sqref="P2:P118">
    <x:cfRule type="containsText" dxfId="0" priority="1" operator="containsText" text="已完成"/>
    <x:cfRule type="containsText" dxfId="1" priority="2" operator="containsText" text="受阻"/>
    <x:cfRule type="containsText" dxfId="2" priority="3" operator="containsText" text="待返工"/>
  </x:conditionalFormatting>
  <x:conditionalFormatting sqref="L2:L118">
    <x:cfRule type="cellIs" dxfId="3" priority="4" operator="equal">
      <x:formula>18</x:formula>
    </x:cfRule>
  </x:conditionalFormatting>
  <x:dataValidations count="3">
    <x:dataValidation type="list" sqref="P2:P118">
      <x:formula1>"未开始,进行中,受阻,待复验,待返工,待验收,已完成,已取消"</x:formula1>
    </x:dataValidation>
    <x:dataValidation type="list" sqref="H2:H118">
      <x:formula1>"P0,P1"</x:formula1>
    </x:dataValidation>
    <x:dataValidation type="list" sqref="M2:M118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6faef1b2314a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68" hidden="0" customWidth="1"/>
  </x:cols>
  <x:sheetData>
    <x:row r="1">
      <x:c r="A1" s="12" t="str">
        <x:v>阶段</x:v>
      </x:c>
      <x:c r="B1" s="13" t="str">
        <x:v>里程碑</x:v>
      </x:c>
      <x:c r="C1" s="13" t="str">
        <x:v>任务数</x:v>
      </x:c>
      <x:c r="D1" s="13" t="str">
        <x:v>最低工时</x:v>
      </x:c>
      <x:c r="E1" s="13" t="str">
        <x:v>最高工时</x:v>
      </x:c>
      <x:c r="F1" s="13" t="str">
        <x:v>阶段验收任务</x:v>
      </x:c>
      <x:c r="G1" s="14" t="str">
        <x:v>通过条件</x:v>
      </x:c>
    </x:row>
    <x:row r="2">
      <x:c r="A2" s="33" t="str">
        <x:v>阶段0 现状收容</x:v>
      </x:c>
      <x:c r="B2" s="34" t="str">
        <x:v>G0 可控重建基线</x:v>
      </x:c>
      <x:c r="C2" s="34" t="n">
        <x:f>COUNTIF('开发任务'!$B$2:$B$118,A2)</x:f>
        <x:v>13</x:v>
      </x:c>
      <x:c r="D2" s="34" t="n">
        <x:f>SUMIF('开发任务'!$B$2:$B$118,A2,'开发任务'!$K$2:$K$118)</x:f>
        <x:v>80</x:v>
      </x:c>
      <x:c r="E2" s="34" t="n">
        <x:f>SUMIF('开发任务'!$B$2:$B$118,A2,'开发任务'!$L$2:$L$118)</x:f>
        <x:v>142</x:v>
      </x:c>
      <x:c r="F2" s="34" t="str">
        <x:v>G0-001</x:v>
      </x:c>
      <x:c r="G2" s="35" t="str">
        <x:v>旧业务被完整收容，新业务骨架、回滚和删除门均成立。</x:v>
      </x:c>
    </x:row>
    <x:row r="3">
      <x:c r="A3" s="36" t="str">
        <x:v>阶段1 新合同与数据</x:v>
      </x:c>
      <x:c r="B3" s="37" t="str">
        <x:v>G1 新业务数据可加载</x:v>
      </x:c>
      <x:c r="C3" s="37" t="n">
        <x:f>COUNTIF('开发任务'!$B$2:$B$118,A3)</x:f>
        <x:v>15</x:v>
      </x:c>
      <x:c r="D3" s="37" t="n">
        <x:f>SUMIF('开发任务'!$B$2:$B$118,A3,'开发任务'!$K$2:$K$118)</x:f>
        <x:v>140</x:v>
      </x:c>
      <x:c r="E3" s="37" t="n">
        <x:f>SUMIF('开发任务'!$B$2:$B$118,A3,'开发任务'!$L$2:$L$118)</x:f>
        <x:v>228</x:v>
      </x:c>
      <x:c r="F3" s="37" t="str">
        <x:v>G1-001</x:v>
      </x:c>
      <x:c r="G3" s="38" t="str">
        <x:v>新领域、输入和业务数据独立可测，旧业务表退出权威路径。</x:v>
      </x:c>
    </x:row>
    <x:row r="4">
      <x:c r="A4" s="36" t="str">
        <x:v>阶段2 角色与枪战</x:v>
      </x:c>
      <x:c r="B4" s="37" t="str">
        <x:v>G2 单局战斗可验证</x:v>
      </x:c>
      <x:c r="C4" s="37" t="n">
        <x:f>COUNTIF('开发任务'!$B$2:$B$118,A4)</x:f>
        <x:v>16</x:v>
      </x:c>
      <x:c r="D4" s="37" t="n">
        <x:f>SUMIF('开发任务'!$B$2:$B$118,A4,'开发任务'!$K$2:$K$118)</x:f>
        <x:v>148</x:v>
      </x:c>
      <x:c r="E4" s="37" t="n">
        <x:f>SUMIF('开发任务'!$B$2:$B$118,A4,'开发任务'!$L$2:$L$118)</x:f>
        <x:v>242</x:v>
      </x:c>
      <x:c r="F4" s="37" t="str">
        <x:v>G2-001</x:v>
      </x:c>
      <x:c r="G4" s="38" t="str">
        <x:v>六人三队的单步枪、闪避、倒地救援和Bot基础战斗成立。</x:v>
      </x:c>
    </x:row>
    <x:row r="5">
      <x:c r="A5" s="36" t="str">
        <x:v>阶段3 纹身与元素</x:v>
      </x:c>
      <x:c r="B5" s="37" t="str">
        <x:v>G3 构筑效果闭环</x:v>
      </x:c>
      <x:c r="C5" s="37" t="n">
        <x:f>COUNTIF('开发任务'!$B$2:$B$118,A5)</x:f>
        <x:v>20</x:v>
      </x:c>
      <x:c r="D5" s="37" t="n">
        <x:f>SUMIF('开发任务'!$B$2:$B$118,A5,'开发任务'!$K$2:$K$118)</x:f>
        <x:v>216</x:v>
      </x:c>
      <x:c r="E5" s="37" t="n">
        <x:f>SUMIF('开发任务'!$B$2:$B$118,A5,'开发任务'!$L$2:$L$118)</x:f>
        <x:v>334</x:v>
      </x:c>
      <x:c r="F5" s="37" t="str">
        <x:v>G3-001</x:v>
      </x:c>
      <x:c r="G5" s="38" t="str">
        <x:v>12效果、元素反应、事件队列、成果与PhaseEpoch闭环成立。</x:v>
      </x:c>
    </x:row>
    <x:row r="6">
      <x:c r="A6" s="36" t="str">
        <x:v>阶段4 五轮与资源</x:v>
      </x:c>
      <x:c r="B6" s="37" t="str">
        <x:v>G4 完整对局闭环</x:v>
      </x:c>
      <x:c r="C6" s="37" t="n">
        <x:f>COUNTIF('开发任务'!$B$2:$B$118,A6)</x:f>
        <x:v>15</x:v>
      </x:c>
      <x:c r="D6" s="37" t="n">
        <x:f>SUMIF('开发任务'!$B$2:$B$118,A6,'开发任务'!$K$2:$K$118)</x:f>
        <x:v>152</x:v>
      </x:c>
      <x:c r="E6" s="37" t="n">
        <x:f>SUMIF('开发任务'!$B$2:$B$118,A6,'开发任务'!$L$2:$L$118)</x:f>
        <x:v>238</x:v>
      </x:c>
      <x:c r="F6" s="37" t="str">
        <x:v>G4-001</x:v>
      </x:c>
      <x:c r="G6" s="38" t="str">
        <x:v>五轮、四缩圈、构筑情报、资源、测试撤离和返回菜单成立。</x:v>
      </x:c>
    </x:row>
    <x:row r="7">
      <x:c r="A7" s="36" t="str">
        <x:v>阶段5 UI与玩法验证</x:v>
      </x:c>
      <x:c r="B7" s="37" t="str">
        <x:v>G5 First Playable验收</x:v>
      </x:c>
      <x:c r="C7" s="37" t="n">
        <x:f>COUNTIF('开发任务'!$B$2:$B$118,A7)</x:f>
        <x:v>19</x:v>
      </x:c>
      <x:c r="D7" s="37" t="n">
        <x:f>SUMIF('开发任务'!$B$2:$B$118,A7,'开发任务'!$K$2:$K$118)</x:f>
        <x:v>198</x:v>
      </x:c>
      <x:c r="E7" s="37" t="n">
        <x:f>SUMIF('开发任务'!$B$2:$B$118,A7,'开发任务'!$L$2:$L$118)</x:f>
        <x:v>312</x:v>
      </x:c>
      <x:c r="F7" s="37" t="str">
        <x:v>G5-001</x:v>
      </x:c>
      <x:c r="G7" s="38" t="str">
        <x:v>正式表现、旧链清理、自动化和真人玩法验证共同通过。</x:v>
      </x:c>
    </x:row>
    <x:row r="8">
      <x:c r="A8" s="36" t="str">
        <x:v>并行美术0 资产复验</x:v>
      </x:c>
      <x:c r="B8" s="37" t="str">
        <x:v>ART-G0 资产与缺口基线</x:v>
      </x:c>
      <x:c r="C8" s="37" t="n">
        <x:f>COUNTIF('开发任务'!$B$2:$B$118,A8)</x:f>
        <x:v>6</x:v>
      </x:c>
      <x:c r="D8" s="37" t="n">
        <x:f>SUMIF('开发任务'!$B$2:$B$118,A8,'开发任务'!$K$2:$K$118)</x:f>
        <x:v>42</x:v>
      </x:c>
      <x:c r="E8" s="37" t="n">
        <x:f>SUMIF('开发任务'!$B$2:$B$118,A8,'开发任务'!$L$2:$L$118)</x:f>
        <x:v>74</x:v>
      </x:c>
      <x:c r="F8" s="37" t="str">
        <x:v>ART-G0-001</x:v>
      </x:c>
      <x:c r="G8" s="38" t="str">
        <x:v>保留资源、返工项、缺口和主工程接口均明确。</x:v>
      </x:c>
    </x:row>
    <x:row r="9">
      <x:c r="A9" s="36" t="str">
        <x:v>并行美术1 缺口制作</x:v>
      </x:c>
      <x:c r="B9" s="37" t="str">
        <x:v>ART-G1 缺口资源完成</x:v>
      </x:c>
      <x:c r="C9" s="37" t="n">
        <x:f>COUNTIF('开发任务'!$B$2:$B$118,A9)</x:f>
        <x:v>8</x:v>
      </x:c>
      <x:c r="D9" s="37" t="n">
        <x:f>SUMIF('开发任务'!$B$2:$B$118,A9,'开发任务'!$K$2:$K$118)</x:f>
        <x:v>84</x:v>
      </x:c>
      <x:c r="E9" s="37" t="n">
        <x:f>SUMIF('开发任务'!$B$2:$B$118,A9,'开发任务'!$L$2:$L$118)</x:f>
        <x:v>130</x:v>
      </x:c>
      <x:c r="F9" s="37" t="str">
        <x:v>ART-G1-001</x:v>
      </x:c>
      <x:c r="G9" s="38" t="str">
        <x:v>当前版本P0缺口资源通过专业和技术验收。</x:v>
      </x:c>
    </x:row>
    <x:row r="10">
      <x:c r="A10" s="39" t="str">
        <x:v>并行美术2 导入验收</x:v>
      </x:c>
      <x:c r="B10" s="40" t="str">
        <x:v>ART-G2 主工程表现验收</x:v>
      </x:c>
      <x:c r="C10" s="40" t="n">
        <x:f>COUNTIF('开发任务'!$B$2:$B$118,A10)</x:f>
        <x:v>5</x:v>
      </x:c>
      <x:c r="D10" s="40" t="n">
        <x:f>SUMIF('开发任务'!$B$2:$B$118,A10,'开发任务'!$K$2:$K$118)</x:f>
        <x:v>46</x:v>
      </x:c>
      <x:c r="E10" s="40" t="n">
        <x:f>SUMIF('开发任务'!$B$2:$B$118,A10,'开发任务'!$L$2:$L$118)</x:f>
        <x:v>74</x:v>
      </x:c>
      <x:c r="F10" s="40" t="str">
        <x:v>ART-G2-001</x:v>
      </x:c>
      <x:c r="G10" s="41" t="str">
        <x:v>正式资源绑定真实状态并通过可读性与性能验收。</x:v>
      </x:c>
    </x:row>
  </x:sheetData>
  <x:pageMargins left="0.7" right="0.7" top="0.75" bottom="0.75" header="0.3" footer="0.3"/>
  <x:tableParts count="1">
    <x:tablePart xmlns:r="http://schemas.openxmlformats.org/officeDocument/2006/relationships" r:id="Rbe470bfbf5ff4b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72" hidden="0" customWidth="1"/>
  </x:cols>
  <x:sheetData>
    <x:row r="1">
      <x:c r="A1" s="12" t="str">
        <x:v>工作流</x:v>
      </x:c>
      <x:c r="B1" s="13" t="str">
        <x:v>任务数</x:v>
      </x:c>
      <x:c r="C1" s="13" t="str">
        <x:v>最低工时</x:v>
      </x:c>
      <x:c r="D1" s="13" t="str">
        <x:v>最高工时</x:v>
      </x:c>
      <x:c r="E1" s="13" t="str">
        <x:v>预算分类</x:v>
      </x:c>
      <x:c r="F1" s="14" t="str">
        <x:v>并行安排说明</x:v>
      </x:c>
    </x:row>
    <x:row r="2">
      <x:c r="A2" s="33" t="str">
        <x:v>配置与内容</x:v>
      </x:c>
      <x:c r="B2" s="34" t="n">
        <x:f>COUNTIF('开发任务'!$D$2:$D$118,A2)</x:f>
        <x:v>9</x:v>
      </x:c>
      <x:c r="C2" s="34" t="n">
        <x:f>SUMIF('开发任务'!$D$2:$D$118,A2,'开发任务'!$K$2:$K$118)</x:f>
        <x:v>74</x:v>
      </x:c>
      <x:c r="D2" s="34" t="n">
        <x:f>SUMIF('开发任务'!$D$2:$D$118,A2,'开发任务'!$L$2:$L$118)</x:f>
        <x:v>120</x:v>
      </x:c>
      <x:c r="E2" s="34" t="str">
        <x:v>程序预算</x:v>
      </x:c>
      <x:c r="F2" s="35" t="str">
        <x:v>满足前置依赖后可与同阶段其他工作流并行；个人开发按里程碑批处理。</x:v>
      </x:c>
    </x:row>
    <x:row r="3">
      <x:c r="A3" s="36" t="str">
        <x:v>客户端程序</x:v>
      </x:c>
      <x:c r="B3" s="37" t="n">
        <x:f>COUNTIF('开发任务'!$D$2:$D$118,A3)</x:f>
        <x:v>59</x:v>
      </x:c>
      <x:c r="C3" s="37" t="n">
        <x:f>SUMIF('开发任务'!$D$2:$D$118,A3,'开发任务'!$K$2:$K$118)</x:f>
        <x:v>566</x:v>
      </x:c>
      <x:c r="D3" s="37" t="n">
        <x:f>SUMIF('开发任务'!$D$2:$D$118,A3,'开发任务'!$L$2:$L$118)</x:f>
        <x:v>914</x:v>
      </x:c>
      <x:c r="E3" s="37" t="str">
        <x:v>程序预算</x:v>
      </x:c>
      <x:c r="F3" s="38" t="str">
        <x:v>满足前置依赖后可与同阶段其他工作流并行；个人开发按里程碑批处理。</x:v>
      </x:c>
    </x:row>
    <x:row r="4">
      <x:c r="A4" s="36" t="str">
        <x:v>UI与交互</x:v>
      </x:c>
      <x:c r="B4" s="37" t="n">
        <x:f>COUNTIF('开发任务'!$D$2:$D$118,A4)</x:f>
        <x:v>9</x:v>
      </x:c>
      <x:c r="C4" s="37" t="n">
        <x:f>SUMIF('开发任务'!$D$2:$D$118,A4,'开发任务'!$K$2:$K$118)</x:f>
        <x:v>86</x:v>
      </x:c>
      <x:c r="D4" s="37" t="n">
        <x:f>SUMIF('开发任务'!$D$2:$D$118,A4,'开发任务'!$L$2:$L$118)</x:f>
        <x:v>140</x:v>
      </x:c>
      <x:c r="E4" s="37" t="str">
        <x:v>程序预算</x:v>
      </x:c>
      <x:c r="F4" s="38" t="str">
        <x:v>满足前置依赖后可与同阶段其他工作流并行；个人开发按里程碑批处理。</x:v>
      </x:c>
    </x:row>
    <x:row r="5">
      <x:c r="A5" s="36" t="str">
        <x:v>集成与阶段验收</x:v>
      </x:c>
      <x:c r="B5" s="37" t="n">
        <x:f>COUNTIF('开发任务'!$D$2:$D$118,A5)</x:f>
        <x:v>18</x:v>
      </x:c>
      <x:c r="C5" s="37" t="n">
        <x:f>SUMIF('开发任务'!$D$2:$D$118,A5,'开发任务'!$K$2:$K$118)</x:f>
        <x:v>174</x:v>
      </x:c>
      <x:c r="D5" s="37" t="n">
        <x:f>SUMIF('开发任务'!$D$2:$D$118,A5,'开发任务'!$L$2:$L$118)</x:f>
        <x:v>270</x:v>
      </x:c>
      <x:c r="E5" s="37" t="str">
        <x:v>程序预算</x:v>
      </x:c>
      <x:c r="F5" s="38" t="str">
        <x:v>满足前置依赖后可与同阶段其他工作流并行；个人开发按里程碑批处理。</x:v>
      </x:c>
    </x:row>
    <x:row r="6">
      <x:c r="A6" s="36" t="str">
        <x:v>美术方向与规范</x:v>
      </x:c>
      <x:c r="B6" s="37" t="n">
        <x:f>COUNTIF('开发任务'!$D$2:$D$118,A6)</x:f>
        <x:v>1</x:v>
      </x:c>
      <x:c r="C6" s="37" t="n">
        <x:f>SUMIF('开发任务'!$D$2:$D$118,A6,'开发任务'!$K$2:$K$118)</x:f>
        <x:v>6</x:v>
      </x:c>
      <x:c r="D6" s="37" t="n">
        <x:f>SUMIF('开发任务'!$D$2:$D$118,A6,'开发任务'!$L$2:$L$118)</x:f>
        <x:v>10</x:v>
      </x:c>
      <x:c r="E6" s="37" t="str">
        <x:v>美术资源预算</x:v>
      </x:c>
      <x:c r="F6" s="38" t="str">
        <x:v>按ART验收门和任务依赖推进；完成后分批导入主工程。</x:v>
      </x:c>
    </x:row>
    <x:row r="7">
      <x:c r="A7" s="36" t="str">
        <x:v>场景与环境美术</x:v>
      </x:c>
      <x:c r="B7" s="37" t="n">
        <x:f>COUNTIF('开发任务'!$D$2:$D$118,A7)</x:f>
        <x:v>0</x:v>
      </x:c>
      <x:c r="C7" s="37" t="n">
        <x:f>SUMIF('开发任务'!$D$2:$D$118,A7,'开发任务'!$K$2:$K$118)</x:f>
        <x:v>0</x:v>
      </x:c>
      <x:c r="D7" s="37" t="n">
        <x:f>SUMIF('开发任务'!$D$2:$D$118,A7,'开发任务'!$L$2:$L$118)</x:f>
        <x:v>0</x:v>
      </x:c>
      <x:c r="E7" s="37" t="str">
        <x:v>美术资源预算</x:v>
      </x:c>
      <x:c r="F7" s="38" t="str">
        <x:v>按ART验收门和任务依赖推进；完成后分批导入主工程。</x:v>
      </x:c>
    </x:row>
    <x:row r="8">
      <x:c r="A8" s="36" t="str">
        <x:v>3D资产与材质</x:v>
      </x:c>
      <x:c r="B8" s="37" t="n">
        <x:f>COUNTIF('开发任务'!$D$2:$D$118,A8)</x:f>
        <x:v>1</x:v>
      </x:c>
      <x:c r="C8" s="37" t="n">
        <x:f>SUMIF('开发任务'!$D$2:$D$118,A8,'开发任务'!$K$2:$K$118)</x:f>
        <x:v>6</x:v>
      </x:c>
      <x:c r="D8" s="37" t="n">
        <x:f>SUMIF('开发任务'!$D$2:$D$118,A8,'开发任务'!$L$2:$L$118)</x:f>
        <x:v>12</x:v>
      </x:c>
      <x:c r="E8" s="37" t="str">
        <x:v>美术资源预算</x:v>
      </x:c>
      <x:c r="F8" s="38" t="str">
        <x:v>按ART验收门和任务依赖推进；完成后分批导入主工程。</x:v>
      </x:c>
    </x:row>
    <x:row r="9">
      <x:c r="A9" s="36" t="str">
        <x:v>动画与交互动效</x:v>
      </x:c>
      <x:c r="B9" s="37" t="n">
        <x:f>COUNTIF('开发任务'!$D$2:$D$118,A9)</x:f>
        <x:v>3</x:v>
      </x:c>
      <x:c r="C9" s="37" t="n">
        <x:f>SUMIF('开发任务'!$D$2:$D$118,A9,'开发任务'!$K$2:$K$118)</x:f>
        <x:v>32</x:v>
      </x:c>
      <x:c r="D9" s="37" t="n">
        <x:f>SUMIF('开发任务'!$D$2:$D$118,A9,'开发任务'!$L$2:$L$118)</x:f>
        <x:v>50</x:v>
      </x:c>
      <x:c r="E9" s="37" t="str">
        <x:v>美术资源预算</x:v>
      </x:c>
      <x:c r="F9" s="38" t="str">
        <x:v>按ART验收门和任务依赖推进；完成后分批导入主工程。</x:v>
      </x:c>
    </x:row>
    <x:row r="10">
      <x:c r="A10" s="36" t="str">
        <x:v>技术美术与特效</x:v>
      </x:c>
      <x:c r="B10" s="37" t="n">
        <x:f>COUNTIF('开发任务'!$D$2:$D$118,A10)</x:f>
        <x:v>5</x:v>
      </x:c>
      <x:c r="C10" s="37" t="n">
        <x:f>SUMIF('开发任务'!$D$2:$D$118,A10,'开发任务'!$K$2:$K$118)</x:f>
        <x:v>52</x:v>
      </x:c>
      <x:c r="D10" s="37" t="n">
        <x:f>SUMIF('开发任务'!$D$2:$D$118,A10,'开发任务'!$L$2:$L$118)</x:f>
        <x:v>82</x:v>
      </x:c>
      <x:c r="E10" s="37" t="str">
        <x:v>美术资源预算</x:v>
      </x:c>
      <x:c r="F10" s="38" t="str">
        <x:v>按ART验收门和任务依赖推进；完成后分批导入主工程。</x:v>
      </x:c>
    </x:row>
    <x:row r="11">
      <x:c r="A11" s="36" t="str">
        <x:v>UI视觉与图标</x:v>
      </x:c>
      <x:c r="B11" s="37" t="n">
        <x:f>COUNTIF('开发任务'!$D$2:$D$118,A11)</x:f>
        <x:v>4</x:v>
      </x:c>
      <x:c r="C11" s="37" t="n">
        <x:f>SUMIF('开发任务'!$D$2:$D$118,A11,'开发任务'!$K$2:$K$118)</x:f>
        <x:v>42</x:v>
      </x:c>
      <x:c r="D11" s="37" t="n">
        <x:f>SUMIF('开发任务'!$D$2:$D$118,A11,'开发任务'!$L$2:$L$118)</x:f>
        <x:v>66</x:v>
      </x:c>
      <x:c r="E11" s="37" t="str">
        <x:v>美术资源预算</x:v>
      </x:c>
      <x:c r="F11" s="38" t="str">
        <x:v>按ART验收门和任务依赖推进；完成后分批导入主工程。</x:v>
      </x:c>
    </x:row>
    <x:row r="12">
      <x:c r="A12" s="36" t="str">
        <x:v>美术与声音资源</x:v>
      </x:c>
      <x:c r="B12" s="37" t="n">
        <x:f>COUNTIF('开发任务'!$D$2:$D$118,A12)</x:f>
        <x:v>1</x:v>
      </x:c>
      <x:c r="C12" s="37" t="n">
        <x:f>SUMIF('开发任务'!$D$2:$D$118,A12,'开发任务'!$K$2:$K$118)</x:f>
        <x:v>8</x:v>
      </x:c>
      <x:c r="D12" s="37" t="n">
        <x:f>SUMIF('开发任务'!$D$2:$D$118,A12,'开发任务'!$L$2:$L$118)</x:f>
        <x:v>14</x:v>
      </x:c>
      <x:c r="E12" s="37" t="str">
        <x:v>美术资源预算</x:v>
      </x:c>
      <x:c r="F12" s="38" t="str">
        <x:v>按ART验收门和任务依赖推进；完成后分批导入主工程。</x:v>
      </x:c>
    </x:row>
    <x:row r="13">
      <x:c r="A13" s="39" t="str">
        <x:v>美术集成与验收</x:v>
      </x:c>
      <x:c r="B13" s="40" t="n">
        <x:f>COUNTIF('开发任务'!$D$2:$D$118,A13)</x:f>
        <x:v>7</x:v>
      </x:c>
      <x:c r="C13" s="40" t="n">
        <x:f>SUMIF('开发任务'!$D$2:$D$118,A13,'开发任务'!$K$2:$K$118)</x:f>
        <x:v>60</x:v>
      </x:c>
      <x:c r="D13" s="40" t="n">
        <x:f>SUMIF('开发任务'!$D$2:$D$118,A13,'开发任务'!$L$2:$L$118)</x:f>
        <x:v>96</x:v>
      </x:c>
      <x:c r="E13" s="40" t="str">
        <x:v>美术资源预算</x:v>
      </x:c>
      <x:c r="F13" s="41" t="str">
        <x:v>按ART验收门和任务依赖推进；完成后分批导入主工程。</x:v>
      </x:c>
    </x:row>
  </x:sheetData>
  <x:pageMargins left="0.7" right="0.7" top="0.75" bottom="0.75" header="0.3" footer="0.3"/>
  <x:tableParts count="1">
    <x:tablePart xmlns:r="http://schemas.openxmlformats.org/officeDocument/2006/relationships" r:id="R0f7e7d28f0844d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42" hidden="0" customWidth="1"/>
    <x:col min="5" max="5" width="14" hidden="0" customWidth="1"/>
    <x:col min="6" max="6" width="36" hidden="0" customWidth="1"/>
  </x:cols>
  <x:sheetData>
    <x:row r="1">
      <x:c r="A1" s="3" t="str">
        <x:v>GameDesinger First Playable 开发任务统计</x:v>
      </x:c>
      <x:c r="B1" s="3"/>
      <x:c r="C1" s="3"/>
      <x:c r="D1" s="3"/>
      <x:c r="E1" s="3"/>
      <x:c r="F1" s="3"/>
    </x:row>
    <x:row r="2">
      <x:c r="A2" t="str">
        <x:v>当前项目：D:\unity\UnityProject\GameDesinger；旧业务重建，程序每周20小时，美术单独统计。</x:v>
      </x:c>
    </x:row>
    <x:row r="3">
      <x:c r="A3" s="93" t="str">
        <x:v>指标</x:v>
      </x:c>
      <x:c r="B3" s="94" t="str">
        <x:v>数量/最低</x:v>
      </x:c>
      <x:c r="C3" s="94" t="str">
        <x:v>最高</x:v>
      </x:c>
      <x:c r="D3" s="94" t="str">
        <x:v>说明</x:v>
      </x:c>
      <x:c r="E3" s="94" t="str">
        <x:v>校验状态</x:v>
      </x:c>
      <x:c r="F3" s="94" t="str">
        <x:v>备注</x:v>
      </x:c>
    </x:row>
    <x:row r="4">
      <x:c r="A4" s="36" t="str">
        <x:v>全部任务</x:v>
      </x:c>
      <x:c r="B4" s="37" t="n">
        <x:f>COUNTA('开发任务'!$A$2:$A$118)</x:f>
        <x:v>117</x:v>
      </x:c>
      <x:c r="C4" s="37"/>
      <x:c r="D4" s="37" t="str">
        <x:v>所有任务均有DoD</x:v>
      </x:c>
      <x:c r="E4" s="37" t="str">
        <x:v>通过</x:v>
      </x:c>
      <x:c r="F4" s="88" t="str"/>
    </x:row>
    <x:row r="5">
      <x:c r="A5" s="36" t="str">
        <x:v>程序预算（小时）</x:v>
      </x:c>
      <x:c r="B5" s="37" t="n">
        <x:f>SUMIF('开发任务'!$N$2:$N$118,"程序预算",'开发任务'!$K$2:$K$118)</x:f>
        <x:v>894</x:v>
      </x:c>
      <x:c r="C5" s="37" t="n">
        <x:f>SUMIF('开发任务'!$N$2:$N$118,"程序预算",'开发任务'!$L$2:$L$118)</x:f>
        <x:v>1434</x:v>
      </x:c>
      <x:c r="D5" s="37" t="str">
        <x:v>程序、UI、配置、测试和集成</x:v>
      </x:c>
      <x:c r="E5" s="37" t="str">
        <x:v>通过</x:v>
      </x:c>
      <x:c r="F5" s="88" t="str">
        <x:v>按每周20小时折算</x:v>
      </x:c>
    </x:row>
    <x:row r="6">
      <x:c r="A6" s="36" t="str">
        <x:v>美术资源预算（小时）</x:v>
      </x:c>
      <x:c r="B6" s="37" t="n">
        <x:f>SUMIF('开发任务'!$N$2:$N$118,"美术资源预算",'开发任务'!$K$2:$K$118)</x:f>
        <x:v>212</x:v>
      </x:c>
      <x:c r="C6" s="37" t="n">
        <x:f>SUMIF('开发任务'!$N$2:$N$118,"美术资源预算",'开发任务'!$L$2:$L$118)</x:f>
        <x:v>340</x:v>
      </x:c>
      <x:c r="D6" s="37" t="str">
        <x:v>复验、缺口资源和美术接入</x:v>
      </x:c>
      <x:c r="E6" s="37" t="str">
        <x:v>通过</x:v>
      </x:c>
      <x:c r="F6" s="88" t="str">
        <x:v>场景/交互物以复验为主</x:v>
      </x:c>
    </x:row>
    <x:row r="7">
      <x:c r="A7" s="36" t="str">
        <x:v>合计（小时）</x:v>
      </x:c>
      <x:c r="B7" s="37" t="n">
        <x:f>B5+B6</x:f>
        <x:v>1106</x:v>
      </x:c>
      <x:c r="C7" s="37" t="n">
        <x:f>C5+C6</x:f>
        <x:v>1774</x:v>
      </x:c>
      <x:c r="D7" s="37" t="str">
        <x:v>程序与美术资源合计</x:v>
      </x:c>
      <x:c r="E7" s="37" t="str">
        <x:v>通过</x:v>
      </x:c>
      <x:c r="F7" s="88" t="str">
        <x:v>不代表日历承诺</x:v>
      </x:c>
    </x:row>
    <x:row r="8">
      <x:c r="A8" s="36" t="str">
        <x:v>程序工作量（周）</x:v>
      </x:c>
      <x:c r="B8" s="89" t="n">
        <x:f>B5/20</x:f>
        <x:v>44.7</x:v>
      </x:c>
      <x:c r="C8" s="89" t="n">
        <x:f>C5/20</x:f>
        <x:v>71.7</x:v>
      </x:c>
      <x:c r="D8" s="37" t="str">
        <x:v>仅程序预算折算</x:v>
      </x:c>
      <x:c r="E8" s="37" t="str">
        <x:v>通过</x:v>
      </x:c>
      <x:c r="F8" s="88" t="str">
        <x:v>未计休息、返工和范围变更</x:v>
      </x:c>
    </x:row>
    <x:row r="9">
      <x:c r="A9" s="36" t="str">
        <x:v>单项工时上限</x:v>
      </x:c>
      <x:c r="B9" s="37" t="n">
        <x:f>MAX('开发任务'!$L$2:$L$118)</x:f>
        <x:v>18</x:v>
      </x:c>
      <x:c r="C9" s="37" t="n">
        <x:f>MAX('开发任务'!$L$2:$L$118)</x:f>
        <x:v>18</x:v>
      </x:c>
      <x:c r="D9" s="37" t="str">
        <x:v>任何任务最高不得超过18小时</x:v>
      </x:c>
      <x:c r="E9" s="37" t="str">
        <x:v>通过</x:v>
      </x:c>
      <x:c r="F9" s="88" t="str">
        <x:v>超限必须拆分</x:v>
      </x:c>
    </x:row>
    <x:row r="10">
      <x:c r="A10" s="39" t="str">
        <x:v>依赖图</x:v>
      </x:c>
      <x:c r="B10" s="40" t="str">
        <x:v>无缺失依赖</x:v>
      </x:c>
      <x:c r="C10" s="40" t="str">
        <x:v>无循环</x:v>
      </x:c>
      <x:c r="D10" s="40" t="str">
        <x:v>任务开始前仍需核对状态</x:v>
      </x:c>
      <x:c r="E10" s="40" t="str">
        <x:v>通过</x:v>
      </x:c>
      <x:c r="F10" s="90" t="str">
        <x:v>由构建脚本验证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5be9d9546ce41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10" hidden="0" customWidth="1"/>
    <x:col min="4" max="4" width="10" hidden="0" customWidth="1"/>
    <x:col min="5" max="5" width="10" hidden="0" customWidth="1"/>
    <x:col min="6" max="6" width="15" hidden="0" customWidth="1"/>
    <x:col min="7" max="7" width="74" hidden="0" customWidth="1"/>
    <x:col min="8" max="8" width="18" hidden="0" customWidth="1"/>
  </x:cols>
  <x:sheetData>
    <x:row r="1">
      <x:c r="A1" s="12" t="str">
        <x:v>风险ID</x:v>
      </x:c>
      <x:c r="B1" s="13" t="str">
        <x:v>风险</x:v>
      </x:c>
      <x:c r="C1" s="13" t="str">
        <x:v>概率</x:v>
      </x:c>
      <x:c r="D1" s="13" t="str">
        <x:v>影响</x:v>
      </x:c>
      <x:c r="E1" s="13" t="str">
        <x:v>评分</x:v>
      </x:c>
      <x:c r="F1" s="13" t="str">
        <x:v>策略</x:v>
      </x:c>
      <x:c r="G1" s="13" t="str">
        <x:v>应对措施</x:v>
      </x:c>
      <x:c r="H1" s="14" t="str">
        <x:v>检查节点</x:v>
      </x:c>
    </x:row>
    <x:row r="2">
      <x:c r="A2" s="33" t="str">
        <x:v>R-001</x:v>
      </x:c>
      <x:c r="B2" s="34" t="str">
        <x:v>旧业务可运行导致过度复用</x:v>
      </x:c>
      <x:c r="C2" s="34" t="str">
        <x:v>高</x:v>
      </x:c>
      <x:c r="D2" s="34" t="str">
        <x:v>高</x:v>
      </x:c>
      <x:c r="E2" s="95" t="str">
        <x:v>16</x:v>
      </x:c>
      <x:c r="F2" s="34" t="str">
        <x:v>规避/缓解</x:v>
      </x:c>
      <x:c r="G2" s="34" t="str">
        <x:v>以新合同和新数据为权威；逐域接管后零引用删除，禁止继续堆兼容层。</x:v>
      </x:c>
      <x:c r="H2" s="35" t="str">
        <x:v>G0/G1/G5</x:v>
      </x:c>
    </x:row>
    <x:row r="3">
      <x:c r="A3" s="36" t="str">
        <x:v>R-002</x:v>
      </x:c>
      <x:c r="B3" s="37" t="str">
        <x:v>先删除后重建破坏Unity序列化引用</x:v>
      </x:c>
      <x:c r="C3" s="37" t="str">
        <x:v>中</x:v>
      </x:c>
      <x:c r="D3" s="37" t="str">
        <x:v>高</x:v>
      </x:c>
      <x:c r="E3" s="96" t="str">
        <x:v>12</x:v>
      </x:c>
      <x:c r="F3" s="37" t="str">
        <x:v>规避</x:v>
      </x:c>
      <x:c r="G3" s="37" t="str">
        <x:v>先做GUID/Prefab/Scene引用地图，替代入口与回归通过后再删除。</x:v>
      </x:c>
      <x:c r="H3" s="38" t="str">
        <x:v>G0/每次清理</x:v>
      </x:c>
    </x:row>
    <x:row r="4">
      <x:c r="A4" s="36" t="str">
        <x:v>R-003</x:v>
      </x:c>
      <x:c r="B4" s="37" t="str">
        <x:v>12效果、元素与事件时序复杂度被低估</x:v>
      </x:c>
      <x:c r="C4" s="37" t="str">
        <x:v>高</x:v>
      </x:c>
      <x:c r="D4" s="37" t="str">
        <x:v>高</x:v>
      </x:c>
      <x:c r="E4" s="96" t="str">
        <x:v>16</x:v>
      </x:c>
      <x:c r="F4" s="37" t="str">
        <x:v>缓解</x:v>
      </x:c>
      <x:c r="G4" s="37" t="str">
        <x:v>纯C#合同与队列先行，按部位/元素拆任务，固定seed和跨Epoch测试覆盖。</x:v>
      </x:c>
      <x:c r="H4" s="38" t="str">
        <x:v>G3</x:v>
      </x:c>
    </x:row>
    <x:row r="5">
      <x:c r="A5" s="36" t="str">
        <x:v>R-004</x:v>
      </x:c>
      <x:c r="B5" s="37" t="str">
        <x:v>动画事件迟到造成永久无敌或跨轮效果</x:v>
      </x:c>
      <x:c r="C5" s="37" t="str">
        <x:v>中</x:v>
      </x:c>
      <x:c r="D5" s="37" t="str">
        <x:v>高</x:v>
      </x:c>
      <x:c r="E5" s="96" t="str">
        <x:v>12</x:v>
      </x:c>
      <x:c r="F5" s="37" t="str">
        <x:v>缓解</x:v>
      </x:c>
      <x:c r="G5" s="37" t="str">
        <x:v>动作序号+PhaseEpoch双校验，并设置状态机超时兜底。</x:v>
      </x:c>
      <x:c r="H5" s="38" t="str">
        <x:v>G2/G3</x:v>
      </x:c>
    </x:row>
    <x:row r="6">
      <x:c r="A6" s="36" t="str">
        <x:v>R-005</x:v>
      </x:c>
      <x:c r="B6" s="37" t="str">
        <x:v>新旧数据表形成双重权威</x:v>
      </x:c>
      <x:c r="C6" s="37" t="str">
        <x:v>高</x:v>
      </x:c>
      <x:c r="D6" s="37" t="str">
        <x:v>高</x:v>
      </x:c>
      <x:c r="E6" s="96" t="str">
        <x:v>16</x:v>
      </x:c>
      <x:c r="F6" s="37" t="str">
        <x:v>规避</x:v>
      </x:c>
      <x:c r="G6" s="37" t="str">
        <x:v>新Catalog接管后切断旧读取入口；阶段门检查消费者与零引用。</x:v>
      </x:c>
      <x:c r="H6" s="38" t="str">
        <x:v>G1/G4</x:v>
      </x:c>
    </x:row>
    <x:row r="7">
      <x:c r="A7" s="36" t="str">
        <x:v>R-006</x:v>
      </x:c>
      <x:c r="B7" s="37" t="str">
        <x:v>已有UI美术仍包含旧需求语义</x:v>
      </x:c>
      <x:c r="C7" s="37" t="str">
        <x:v>高</x:v>
      </x:c>
      <x:c r="D7" s="37" t="str">
        <x:v>中</x:v>
      </x:c>
      <x:c r="E7" s="96" t="str">
        <x:v>12</x:v>
      </x:c>
      <x:c r="F7" s="37" t="str">
        <x:v>缓解</x:v>
      </x:c>
      <x:c r="G7" s="37" t="str">
        <x:v>逐页覆盖审计；旧七元素、旧图案名和旧页面不得因已有资源而保留。</x:v>
      </x:c>
      <x:c r="H7" s="38" t="str">
        <x:v>ART-G0/G1</x:v>
      </x:c>
    </x:row>
    <x:row r="8">
      <x:c r="A8" s="36" t="str">
        <x:v>R-007</x:v>
      </x:c>
      <x:c r="B8" s="37" t="str">
        <x:v>单开发者跨程序/UI/数据/美术切换成本高</x:v>
      </x:c>
      <x:c r="C8" s="37" t="str">
        <x:v>高</x:v>
      </x:c>
      <x:c r="D8" s="37" t="str">
        <x:v>中</x:v>
      </x:c>
      <x:c r="E8" s="96" t="str">
        <x:v>12</x:v>
      </x:c>
      <x:c r="F8" s="37" t="str">
        <x:v>缓解</x:v>
      </x:c>
      <x:c r="G8" s="37" t="str">
        <x:v>按里程碑和并行组批处理；并行表示可独立推进而非同时开工。</x:v>
      </x:c>
      <x:c r="H8" s="38" t="str">
        <x:v>每阶段</x:v>
      </x:c>
    </x:row>
    <x:row r="9">
      <x:c r="A9" s="36" t="str">
        <x:v>R-008</x:v>
      </x:c>
      <x:c r="B9" s="37" t="str">
        <x:v>Bot稳定性掩盖真人玩法问题</x:v>
      </x:c>
      <x:c r="C9" s="37" t="str">
        <x:v>高</x:v>
      </x:c>
      <x:c r="D9" s="37" t="str">
        <x:v>中</x:v>
      </x:c>
      <x:c r="E9" s="96" t="str">
        <x:v>12</x:v>
      </x:c>
      <x:c r="F9" s="37" t="str">
        <x:v>接受/缓解</x:v>
      </x:c>
      <x:c r="G9" s="37" t="str">
        <x:v>自动化只作为技术门；G5必须完成真人构筑反制和信息可读性试玩。</x:v>
      </x:c>
      <x:c r="H9" s="38" t="str">
        <x:v>G5</x:v>
      </x:c>
    </x:row>
    <x:row r="10">
      <x:c r="A10" s="36" t="str">
        <x:v>R-009</x:v>
      </x:c>
      <x:c r="B10" s="37" t="str">
        <x:v>保留场景/交互物接口与新业务不匹配</x:v>
      </x:c>
      <x:c r="C10" s="37" t="str">
        <x:v>中</x:v>
      </x:c>
      <x:c r="D10" s="37" t="str">
        <x:v>中</x:v>
      </x:c>
      <x:c r="E10" s="96" t="str">
        <x:v>9</x:v>
      </x:c>
      <x:c r="F10" s="37" t="str">
        <x:v>缓解</x:v>
      </x:c>
      <x:c r="G10" s="37" t="str">
        <x:v>ART-G0冻结逻辑根、锚点、碰撞和材质合同，先做代表性贯通。</x:v>
      </x:c>
      <x:c r="H10" s="38" t="str">
        <x:v>G0/ART-G0</x:v>
      </x:c>
    </x:row>
    <x:row r="11">
      <x:c r="A11" s="39" t="str">
        <x:v>R-010</x:v>
      </x:c>
      <x:c r="B11" s="40" t="str">
        <x:v>项目脏工作区导致误删用户资产</x:v>
      </x:c>
      <x:c r="C11" s="40" t="str">
        <x:v>中</x:v>
      </x:c>
      <x:c r="D11" s="40" t="str">
        <x:v>高</x:v>
      </x:c>
      <x:c r="E11" s="97" t="str">
        <x:v>12</x:v>
      </x:c>
      <x:c r="F11" s="40" t="str">
        <x:v>规避</x:v>
      </x:c>
      <x:c r="G11" s="40" t="str">
        <x:v>所有清理前识别用户修改，禁止破坏性Git恢复，按明确路径和引用证据操作。</x:v>
      </x:c>
      <x:c r="H11" s="41" t="str">
        <x:v>G0/每次清理</x:v>
      </x:c>
    </x:row>
  </x:sheetData>
  <x:conditionalFormatting sqref="E2:E11">
    <x:cfRule type="cellIs" dxfId="4" priority="1" operator="greaterThanOrEqual">
      <x:formula>16</x:formula>
    </x:cfRule>
    <x:cfRule type="cellIs" dxfId="5" priority="2" operator="between">
      <x:formula>12</x:formula>
      <x:formula>15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d67a03ed9848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4" hidden="0" customWidth="1"/>
    <x:col min="6" max="6" width="60" hidden="0" customWidth="1"/>
  </x:cols>
  <x:sheetData>
    <x:row r="1">
      <x:c r="A1" s="3" t="str">
        <x:v>First Playable 美术并行开发路线</x:v>
      </x:c>
      <x:c r="B1" s="3"/>
      <x:c r="C1" s="3"/>
      <x:c r="D1" s="3"/>
      <x:c r="E1" s="3"/>
      <x:c r="F1" s="3"/>
    </x:row>
    <x:row r="2">
      <x:c r="A2" t="str">
        <x:v>Assets/Game 中现存美术均已确认并导入；当前路线以运行时接入、覆盖缺口、正式角色、UI补项、VFX/动画和主工程验收为主。</x:v>
      </x:c>
    </x:row>
    <x:row r="4">
      <x:c r="A4" s="12" t="str">
        <x:v>并行阶段</x:v>
      </x:c>
      <x:c r="B4" s="13" t="str">
        <x:v>主要目标</x:v>
      </x:c>
      <x:c r="C4" s="13" t="str">
        <x:v>是否依赖主工程</x:v>
      </x:c>
      <x:c r="D4" s="13" t="str">
        <x:v>主要交付物</x:v>
      </x:c>
      <x:c r="E4" s="13" t="str">
        <x:v>验收门</x:v>
      </x:c>
      <x:c r="F4" s="14" t="str">
        <x:v>进入下一阶段条件</x:v>
      </x:c>
    </x:row>
    <x:row r="5">
      <x:c r="A5" s="33" t="str">
        <x:v>并行美术0 资产复验</x:v>
      </x:c>
      <x:c r="B5" s="34" t="str">
        <x:v>确认现存资源覆盖、缺失资源和接口合同</x:v>
      </x:c>
      <x:c r="C5" s="34" t="str">
        <x:v>依赖G0审计和对应玩法规格</x:v>
      </x:c>
      <x:c r="D5" s="34" t="str">
        <x:v>保留/返工/缺失矩阵、动作与表现合同</x:v>
      </x:c>
      <x:c r="E5" s="34" t="str">
        <x:v>ART-G0</x:v>
      </x:c>
      <x:c r="F5" s="35" t="str">
        <x:v>后续只生产明确缺口</x:v>
      </x:c>
    </x:row>
    <x:row r="6">
      <x:c r="A6" s="36" t="str">
        <x:v>并行美术1 缺口制作</x:v>
      </x:c>
      <x:c r="B6" s="37" t="str">
        <x:v>补齐UI、动画、VFX、纹身和最低声音</x:v>
      </x:c>
      <x:c r="C6" s="37" t="str">
        <x:v>可在独立流程制作，按领域分批交付</x:v>
      </x:c>
      <x:c r="D6" s="37" t="str">
        <x:v>版本化First Playable缺口资源包</x:v>
      </x:c>
      <x:c r="E6" s="37" t="str">
        <x:v>ART-G1</x:v>
      </x:c>
      <x:c r="F6" s="38" t="str">
        <x:v>P0资源通过专业与技术验收</x:v>
      </x:c>
    </x:row>
    <x:row r="7">
      <x:c r="A7" s="39" t="str">
        <x:v>并行美术2 导入验收</x:v>
      </x:c>
      <x:c r="B7" s="40" t="str">
        <x:v>绑定真实状态并完成性能与一致性收口</x:v>
      </x:c>
      <x:c r="C7" s="40" t="str">
        <x:v>依赖对应程序接口</x:v>
      </x:c>
      <x:c r="D7" s="40" t="str">
        <x:v>主工程正式资源与验收报告</x:v>
      </x:c>
      <x:c r="E7" s="40" t="str">
        <x:v>ART-G2</x:v>
      </x:c>
      <x:c r="F7" s="41" t="str">
        <x:v>完整流程通过表现与性能验收</x:v>
      </x:c>
    </x:row>
    <x:row r="9">
      <x:c r="A9" s="12" t="str">
        <x:v>工作流</x:v>
      </x:c>
      <x:c r="B9" s="13" t="str">
        <x:v>任务数</x:v>
      </x:c>
      <x:c r="C9" s="13" t="str">
        <x:v>最低工时</x:v>
      </x:c>
      <x:c r="D9" s="13" t="str">
        <x:v>最高工时</x:v>
      </x:c>
      <x:c r="E9" s="13" t="str">
        <x:v>主要并行组</x:v>
      </x:c>
      <x:c r="F9" s="14" t="str">
        <x:v>说明</x:v>
      </x:c>
    </x:row>
    <x:row r="10">
      <x:c r="A10" s="33" t="str">
        <x:v>美术方向与规范</x:v>
      </x:c>
      <x:c r="B10" s="34" t="n">
        <x:f>COUNTIF('开发任务'!$D$2:$D$118,A10)</x:f>
        <x:v>1</x:v>
      </x:c>
      <x:c r="C10" s="34" t="n">
        <x:f>SUMIF('开发任务'!$D$2:$D$118,A10,'开发任务'!$K$2:$K$118)</x:f>
        <x:v>6</x:v>
      </x:c>
      <x:c r="D10" s="34" t="n">
        <x:f>SUMIF('开发任务'!$D$2:$D$118,A10,'开发任务'!$L$2:$L$118)</x:f>
        <x:v>10</x:v>
      </x:c>
      <x:c r="E10" s="34" t="str">
        <x:v>ART-RND / ART-UI / ART-MOTION / ART-VFX / ART-INT</x:v>
      </x:c>
      <x:c r="F10" s="35" t="str">
        <x:v>满足ART验收门与自身依赖后推进；完成后立即分批导入。</x:v>
      </x:c>
    </x:row>
    <x:row r="11">
      <x:c r="A11" s="36" t="str">
        <x:v>3D资产与材质</x:v>
      </x:c>
      <x:c r="B11" s="37" t="n">
        <x:f>COUNTIF('开发任务'!$D$2:$D$118,A11)</x:f>
        <x:v>1</x:v>
      </x:c>
      <x:c r="C11" s="37" t="n">
        <x:f>SUMIF('开发任务'!$D$2:$D$118,A11,'开发任务'!$K$2:$K$118)</x:f>
        <x:v>6</x:v>
      </x:c>
      <x:c r="D11" s="37" t="n">
        <x:f>SUMIF('开发任务'!$D$2:$D$118,A11,'开发任务'!$L$2:$L$118)</x:f>
        <x:v>12</x:v>
      </x:c>
      <x:c r="E11" s="37" t="str">
        <x:v>ART-RND / ART-UI / ART-MOTION / ART-VFX / ART-INT</x:v>
      </x:c>
      <x:c r="F11" s="38" t="str">
        <x:v>满足ART验收门与自身依赖后推进；完成后立即分批导入。</x:v>
      </x:c>
    </x:row>
    <x:row r="12">
      <x:c r="A12" s="36" t="str">
        <x:v>动画与交互动效</x:v>
      </x:c>
      <x:c r="B12" s="37" t="n">
        <x:f>COUNTIF('开发任务'!$D$2:$D$118,A12)</x:f>
        <x:v>3</x:v>
      </x:c>
      <x:c r="C12" s="37" t="n">
        <x:f>SUMIF('开发任务'!$D$2:$D$118,A12,'开发任务'!$K$2:$K$118)</x:f>
        <x:v>32</x:v>
      </x:c>
      <x:c r="D12" s="37" t="n">
        <x:f>SUMIF('开发任务'!$D$2:$D$118,A12,'开发任务'!$L$2:$L$118)</x:f>
        <x:v>50</x:v>
      </x:c>
      <x:c r="E12" s="37" t="str">
        <x:v>ART-RND / ART-UI / ART-MOTION / ART-VFX / ART-INT</x:v>
      </x:c>
      <x:c r="F12" s="38" t="str">
        <x:v>满足ART验收门与自身依赖后推进；完成后立即分批导入。</x:v>
      </x:c>
    </x:row>
    <x:row r="13">
      <x:c r="A13" s="36" t="str">
        <x:v>技术美术与特效</x:v>
      </x:c>
      <x:c r="B13" s="37" t="n">
        <x:f>COUNTIF('开发任务'!$D$2:$D$118,A13)</x:f>
        <x:v>5</x:v>
      </x:c>
      <x:c r="C13" s="37" t="n">
        <x:f>SUMIF('开发任务'!$D$2:$D$118,A13,'开发任务'!$K$2:$K$118)</x:f>
        <x:v>52</x:v>
      </x:c>
      <x:c r="D13" s="37" t="n">
        <x:f>SUMIF('开发任务'!$D$2:$D$118,A13,'开发任务'!$L$2:$L$118)</x:f>
        <x:v>82</x:v>
      </x:c>
      <x:c r="E13" s="37" t="str">
        <x:v>ART-RND / ART-UI / ART-MOTION / ART-VFX / ART-INT</x:v>
      </x:c>
      <x:c r="F13" s="38" t="str">
        <x:v>满足ART验收门与自身依赖后推进；完成后立即分批导入。</x:v>
      </x:c>
    </x:row>
    <x:row r="14">
      <x:c r="A14" s="36" t="str">
        <x:v>UI视觉与图标</x:v>
      </x:c>
      <x:c r="B14" s="37" t="n">
        <x:f>COUNTIF('开发任务'!$D$2:$D$118,A14)</x:f>
        <x:v>4</x:v>
      </x:c>
      <x:c r="C14" s="37" t="n">
        <x:f>SUMIF('开发任务'!$D$2:$D$118,A14,'开发任务'!$K$2:$K$118)</x:f>
        <x:v>42</x:v>
      </x:c>
      <x:c r="D14" s="37" t="n">
        <x:f>SUMIF('开发任务'!$D$2:$D$118,A14,'开发任务'!$L$2:$L$118)</x:f>
        <x:v>66</x:v>
      </x:c>
      <x:c r="E14" s="37" t="str">
        <x:v>ART-RND / ART-UI / ART-MOTION / ART-VFX / ART-INT</x:v>
      </x:c>
      <x:c r="F14" s="38" t="str">
        <x:v>满足ART验收门与自身依赖后推进；完成后立即分批导入。</x:v>
      </x:c>
    </x:row>
    <x:row r="15">
      <x:c r="A15" s="36" t="str">
        <x:v>美术与声音资源</x:v>
      </x:c>
      <x:c r="B15" s="37" t="n">
        <x:f>COUNTIF('开发任务'!$D$2:$D$118,A15)</x:f>
        <x:v>1</x:v>
      </x:c>
      <x:c r="C15" s="37" t="n">
        <x:f>SUMIF('开发任务'!$D$2:$D$118,A15,'开发任务'!$K$2:$K$118)</x:f>
        <x:v>8</x:v>
      </x:c>
      <x:c r="D15" s="37" t="n">
        <x:f>SUMIF('开发任务'!$D$2:$D$118,A15,'开发任务'!$L$2:$L$118)</x:f>
        <x:v>14</x:v>
      </x:c>
      <x:c r="E15" s="37" t="str">
        <x:v>ART-RND / ART-UI / ART-MOTION / ART-VFX / ART-INT</x:v>
      </x:c>
      <x:c r="F15" s="38" t="str">
        <x:v>满足ART验收门与自身依赖后推进；完成后立即分批导入。</x:v>
      </x:c>
    </x:row>
    <x:row r="16">
      <x:c r="A16" s="39" t="str">
        <x:v>美术集成与验收</x:v>
      </x:c>
      <x:c r="B16" s="40" t="n">
        <x:f>COUNTIF('开发任务'!$D$2:$D$118,A16)</x:f>
        <x:v>7</x:v>
      </x:c>
      <x:c r="C16" s="40" t="n">
        <x:f>SUMIF('开发任务'!$D$2:$D$118,A16,'开发任务'!$K$2:$K$118)</x:f>
        <x:v>60</x:v>
      </x:c>
      <x:c r="D16" s="40" t="n">
        <x:f>SUMIF('开发任务'!$D$2:$D$118,A16,'开发任务'!$L$2:$L$118)</x:f>
        <x:v>96</x:v>
      </x:c>
      <x:c r="E16" s="40" t="str">
        <x:v>ART-RND / ART-UI / ART-MOTION / ART-VFX / ART-INT</x:v>
      </x:c>
      <x:c r="F16" s="41" t="str">
        <x:v>满足ART验收门与自身依赖后推进；完成后立即分批导入。</x:v>
      </x:c>
    </x:row>
  </x:sheetData>
  <x:mergeCells>
    <x:mergeCell ref="A1:F1"/>
    <x:mergeCell ref="A2:F2"/>
  </x:mergeCells>
  <x:pageMargins left="0.7" right="0.7" top="0.75" bottom="0.75" header="0.3" footer="0.3"/>
  <x:tableParts count="2">
    <x:tablePart xmlns:r="http://schemas.openxmlformats.org/officeDocument/2006/relationships" r:id="Raa34fa4942004797"/>
    <x:tablePart xmlns:r="http://schemas.openxmlformats.org/officeDocument/2006/relationships" r:id="R9c8604148dfc48a7"/>
  </x:tableParts>
</x:worksheet>
</file>